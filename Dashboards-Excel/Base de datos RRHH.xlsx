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Curso excel\Curso excel\"/>
    </mc:Choice>
  </mc:AlternateContent>
  <xr:revisionPtr revIDLastSave="0" documentId="13_ncr:1_{39C1A91F-C75F-492E-8074-343F3FE05A1C}" xr6:coauthVersionLast="47" xr6:coauthVersionMax="47" xr10:uidLastSave="{00000000-0000-0000-0000-000000000000}"/>
  <bookViews>
    <workbookView xWindow="-120" yWindow="-120" windowWidth="29040" windowHeight="15720" tabRatio="725" xr2:uid="{00000000-000D-0000-FFFF-FFFF00000000}"/>
  </bookViews>
  <sheets>
    <sheet name="Base de Datos RRHH" sheetId="25" r:id="rId1"/>
  </sheets>
  <definedNames>
    <definedName name="_xlnm._FilterDatabase" localSheetId="0" hidden="1">'Base de Datos RRHH'!$A$1:$G$208</definedName>
    <definedName name="SegmentaciónDeDatos_Departamento">#N/A</definedName>
    <definedName name="SegmentaciónDeDatos_Estado_Civil">#N/A</definedName>
    <definedName name="SegmentaciónDeDatos_Reajustar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9" i="25" l="1"/>
  <c r="C209" i="25"/>
  <c r="N3" i="25"/>
  <c r="N4" i="25"/>
  <c r="N5" i="25"/>
  <c r="N2" i="25"/>
  <c r="M5" i="25"/>
  <c r="M4" i="25"/>
  <c r="M3" i="25"/>
  <c r="M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H201" i="25"/>
  <c r="H202" i="25"/>
  <c r="H203" i="25"/>
  <c r="H204" i="25"/>
  <c r="H205" i="25"/>
  <c r="H206" i="25"/>
  <c r="H207" i="25"/>
  <c r="H208" i="25"/>
  <c r="H2" i="25"/>
  <c r="M6" i="25" l="1"/>
  <c r="H209" i="25"/>
</calcChain>
</file>

<file path=xl/sharedStrings.xml><?xml version="1.0" encoding="utf-8"?>
<sst xmlns="http://schemas.openxmlformats.org/spreadsheetml/2006/main" count="1052" uniqueCount="252">
  <si>
    <t>Estado Civil</t>
  </si>
  <si>
    <t>Departamento</t>
  </si>
  <si>
    <t xml:space="preserve">Registro de Performance </t>
  </si>
  <si>
    <t>Casado(a)</t>
  </si>
  <si>
    <t>Administrativo</t>
  </si>
  <si>
    <t>TI</t>
  </si>
  <si>
    <t xml:space="preserve">Salario </t>
  </si>
  <si>
    <t>Soltero</t>
  </si>
  <si>
    <t>Dentro de lo Esperado</t>
  </si>
  <si>
    <t>Debajo de lo esperado</t>
  </si>
  <si>
    <t>Producción</t>
  </si>
  <si>
    <t>Ventas</t>
  </si>
  <si>
    <t>Fecha de Nacimiento</t>
  </si>
  <si>
    <t>Superior a lo Esperado</t>
  </si>
  <si>
    <t>Ana Lívia S.</t>
  </si>
  <si>
    <t>Leticia Barbosa</t>
  </si>
  <si>
    <t>Antonella</t>
  </si>
  <si>
    <t>David</t>
  </si>
  <si>
    <t>Louise</t>
  </si>
  <si>
    <t>Pedro Lucas</t>
  </si>
  <si>
    <t>Isabella</t>
  </si>
  <si>
    <t>Lucas</t>
  </si>
  <si>
    <t>Samuel Roberto</t>
  </si>
  <si>
    <t>Analu</t>
  </si>
  <si>
    <t>Samir</t>
  </si>
  <si>
    <t>Beatriz</t>
  </si>
  <si>
    <t>Mario Andradde</t>
  </si>
  <si>
    <t>Melissa</t>
  </si>
  <si>
    <t>Ana Sofia S.</t>
  </si>
  <si>
    <t>Maria Helena M.</t>
  </si>
  <si>
    <t>Marcelo H.</t>
  </si>
  <si>
    <t>Maria Fernanda</t>
  </si>
  <si>
    <t>Vinícius</t>
  </si>
  <si>
    <t>Maria Valentina</t>
  </si>
  <si>
    <t>Joaquin</t>
  </si>
  <si>
    <t>Aurora</t>
  </si>
  <si>
    <t>Yasmin</t>
  </si>
  <si>
    <t>Emilly</t>
  </si>
  <si>
    <t>Maria Laura</t>
  </si>
  <si>
    <t>Juan</t>
  </si>
  <si>
    <t>Hector</t>
  </si>
  <si>
    <t>Victor</t>
  </si>
  <si>
    <t>Maria M.</t>
  </si>
  <si>
    <t>Francisco</t>
  </si>
  <si>
    <t>Mirella S.</t>
  </si>
  <si>
    <t>Maria Cruz</t>
  </si>
  <si>
    <t>Luis Octavio M.</t>
  </si>
  <si>
    <t>Felipe</t>
  </si>
  <si>
    <t>Anthony</t>
  </si>
  <si>
    <t>Lina</t>
  </si>
  <si>
    <t>Ana Laura</t>
  </si>
  <si>
    <t>Guillermo</t>
  </si>
  <si>
    <t>Emanuel</t>
  </si>
  <si>
    <t>Enrique</t>
  </si>
  <si>
    <t>Mirella</t>
  </si>
  <si>
    <t>Eric</t>
  </si>
  <si>
    <t>Isaac</t>
  </si>
  <si>
    <t>Liz</t>
  </si>
  <si>
    <t>Rafaela</t>
  </si>
  <si>
    <t>Sofia A</t>
  </si>
  <si>
    <t>Isabelly</t>
  </si>
  <si>
    <t>Keith M.</t>
  </si>
  <si>
    <t>Rebeca</t>
  </si>
  <si>
    <t>Ana Sofia</t>
  </si>
  <si>
    <t>Ryan</t>
  </si>
  <si>
    <t>Olívia</t>
  </si>
  <si>
    <t>Benjamin</t>
  </si>
  <si>
    <t>Allana S.</t>
  </si>
  <si>
    <t>Pedro</t>
  </si>
  <si>
    <t>Matheus</t>
  </si>
  <si>
    <t>Marina</t>
  </si>
  <si>
    <t>Pietra Conte</t>
  </si>
  <si>
    <t>Ana</t>
  </si>
  <si>
    <t>Carlos</t>
  </si>
  <si>
    <t>Arthur Enrique</t>
  </si>
  <si>
    <t>Luan B.</t>
  </si>
  <si>
    <t>Leticia M.</t>
  </si>
  <si>
    <t>Gabriela S.</t>
  </si>
  <si>
    <t>Bruno M.</t>
  </si>
  <si>
    <t>Nathan</t>
  </si>
  <si>
    <t>Stella S.</t>
  </si>
  <si>
    <t>Maria Sofia</t>
  </si>
  <si>
    <t>Isis</t>
  </si>
  <si>
    <t>Erick</t>
  </si>
  <si>
    <t>Levi</t>
  </si>
  <si>
    <t>Martin Silva</t>
  </si>
  <si>
    <t>Luan</t>
  </si>
  <si>
    <t>Maria Flor</t>
  </si>
  <si>
    <t>Jessica Almeida</t>
  </si>
  <si>
    <t>Clara</t>
  </si>
  <si>
    <t>Lucas C.</t>
  </si>
  <si>
    <t>Ana Lívia</t>
  </si>
  <si>
    <t>Maria Victoria</t>
  </si>
  <si>
    <t>Arthur Miguel</t>
  </si>
  <si>
    <t>Olívia da M.</t>
  </si>
  <si>
    <t>Ana Luisa</t>
  </si>
  <si>
    <t>Luis Enrique G.</t>
  </si>
  <si>
    <t>Sarah</t>
  </si>
  <si>
    <t>Rovena Souza</t>
  </si>
  <si>
    <t>Celia B.</t>
  </si>
  <si>
    <t>Emilio</t>
  </si>
  <si>
    <t>Cristian</t>
  </si>
  <si>
    <t>André</t>
  </si>
  <si>
    <t>Cecília</t>
  </si>
  <si>
    <t>Rodrigo Z.</t>
  </si>
  <si>
    <t>Gabriela da M.</t>
  </si>
  <si>
    <t>Luis Octavio</t>
  </si>
  <si>
    <t>Nicolas</t>
  </si>
  <si>
    <t>Angelica</t>
  </si>
  <si>
    <t>Kevin</t>
  </si>
  <si>
    <t>Joana P.</t>
  </si>
  <si>
    <t>Rodrigo</t>
  </si>
  <si>
    <t>Juan Pedro</t>
  </si>
  <si>
    <t>Luna</t>
  </si>
  <si>
    <t>Luis Miguel</t>
  </si>
  <si>
    <t>Maria Clara</t>
  </si>
  <si>
    <t>Ana Beatriz</t>
  </si>
  <si>
    <t>Elisa</t>
  </si>
  <si>
    <t>Diego Lopez</t>
  </si>
  <si>
    <t>Carlos Eduardo M.</t>
  </si>
  <si>
    <t>Benjamín</t>
  </si>
  <si>
    <t>Maria Cecília</t>
  </si>
  <si>
    <t>Vicente</t>
  </si>
  <si>
    <t>Ana Júlia</t>
  </si>
  <si>
    <t>Ignacio</t>
  </si>
  <si>
    <t>Victor Hugo</t>
  </si>
  <si>
    <t>Emilly M.</t>
  </si>
  <si>
    <t>Gabriel</t>
  </si>
  <si>
    <t>Lucas Gabriel</t>
  </si>
  <si>
    <t>Angelica S.</t>
  </si>
  <si>
    <t>Pedro Miguel</t>
  </si>
  <si>
    <t>Luis Felipe</t>
  </si>
  <si>
    <t>Fernanda</t>
  </si>
  <si>
    <t>Raul</t>
  </si>
  <si>
    <t>Ana Clara</t>
  </si>
  <si>
    <t>Samuel</t>
  </si>
  <si>
    <t>Pietra</t>
  </si>
  <si>
    <t>José M.</t>
  </si>
  <si>
    <t>Henry</t>
  </si>
  <si>
    <t>Enzo Miguel M.</t>
  </si>
  <si>
    <t>Mariana P.</t>
  </si>
  <si>
    <t>José</t>
  </si>
  <si>
    <t>Marcos F.</t>
  </si>
  <si>
    <t>Antonio</t>
  </si>
  <si>
    <t>Breno</t>
  </si>
  <si>
    <t>Rafael</t>
  </si>
  <si>
    <t>Isadora</t>
  </si>
  <si>
    <t>Luis Enrique</t>
  </si>
  <si>
    <t>Miguel</t>
  </si>
  <si>
    <t>Gabriela</t>
  </si>
  <si>
    <t>Lívia</t>
  </si>
  <si>
    <t>Sandro Diaz</t>
  </si>
  <si>
    <t>Tomás M.</t>
  </si>
  <si>
    <t>Maria Fernanda M.</t>
  </si>
  <si>
    <t>Juan Gabriel</t>
  </si>
  <si>
    <t>David Miguel</t>
  </si>
  <si>
    <t>Ana Beatriz M.</t>
  </si>
  <si>
    <t>Leonardo</t>
  </si>
  <si>
    <t>Sophie S.</t>
  </si>
  <si>
    <t>Maria</t>
  </si>
  <si>
    <t>Yuri</t>
  </si>
  <si>
    <t>Breno M.</t>
  </si>
  <si>
    <t>Maria Valentina da M.</t>
  </si>
  <si>
    <t>Arthur</t>
  </si>
  <si>
    <t>Bernardo S.</t>
  </si>
  <si>
    <t>Erick C.</t>
  </si>
  <si>
    <t>Daniel</t>
  </si>
  <si>
    <t>Ana Laura da M.</t>
  </si>
  <si>
    <t>Emma J.</t>
  </si>
  <si>
    <t>Maria Flor M.</t>
  </si>
  <si>
    <t>Ana Liz</t>
  </si>
  <si>
    <t>Larissa</t>
  </si>
  <si>
    <t>Fernando</t>
  </si>
  <si>
    <t>Natasha P.</t>
  </si>
  <si>
    <t>Pietro</t>
  </si>
  <si>
    <t>Thiago</t>
  </si>
  <si>
    <t>Ana Victoria</t>
  </si>
  <si>
    <t>Ingrid G.</t>
  </si>
  <si>
    <t>Cristina C.</t>
  </si>
  <si>
    <t>Manuela</t>
  </si>
  <si>
    <t>Allana da M.</t>
  </si>
  <si>
    <t>Eduardo</t>
  </si>
  <si>
    <t>Pietra S.</t>
  </si>
  <si>
    <t>Keity C.</t>
  </si>
  <si>
    <t>Eliana C.</t>
  </si>
  <si>
    <t>Emma S.</t>
  </si>
  <si>
    <t>Enzo Gabriel</t>
  </si>
  <si>
    <t>Alice</t>
  </si>
  <si>
    <t>Murilo</t>
  </si>
  <si>
    <t>Maria Alice</t>
  </si>
  <si>
    <t>Helena</t>
  </si>
  <si>
    <t>Hannah</t>
  </si>
  <si>
    <t>David Lucca</t>
  </si>
  <si>
    <t>Lucy</t>
  </si>
  <si>
    <t>Maria Luisa</t>
  </si>
  <si>
    <t>Maria Eugenia</t>
  </si>
  <si>
    <t>Bernardo</t>
  </si>
  <si>
    <t>Maya</t>
  </si>
  <si>
    <t>Carolina</t>
  </si>
  <si>
    <t>Pedro Miguel G.</t>
  </si>
  <si>
    <t>Mateo</t>
  </si>
  <si>
    <t>Catarina</t>
  </si>
  <si>
    <t>Laura</t>
  </si>
  <si>
    <t>Juan Miguel</t>
  </si>
  <si>
    <t>Jazz</t>
  </si>
  <si>
    <t>Lorena</t>
  </si>
  <si>
    <t>Juan Guillermo</t>
  </si>
  <si>
    <t>Enzo</t>
  </si>
  <si>
    <t>Bryan</t>
  </si>
  <si>
    <t>Heloísa</t>
  </si>
  <si>
    <t>Mariah S.</t>
  </si>
  <si>
    <t>Alice R.</t>
  </si>
  <si>
    <t>Jeniffer S.</t>
  </si>
  <si>
    <t>Giovanna</t>
  </si>
  <si>
    <t>Victoria</t>
  </si>
  <si>
    <t>Luisa</t>
  </si>
  <si>
    <t>Ana Cecília</t>
  </si>
  <si>
    <t>Marta J.</t>
  </si>
  <si>
    <t>Marcelo R</t>
  </si>
  <si>
    <t xml:space="preserve">Nombre </t>
  </si>
  <si>
    <t>Ingeniero de Software II</t>
  </si>
  <si>
    <t>Diretor Administrativo</t>
  </si>
  <si>
    <t>Analista Comercial I</t>
  </si>
  <si>
    <t>Técnico de Producción I</t>
  </si>
  <si>
    <t>Analista Comercial II</t>
  </si>
  <si>
    <t>Técnico de Producción II</t>
  </si>
  <si>
    <t>Analista Comercial III</t>
  </si>
  <si>
    <t>Diretor Comercial</t>
  </si>
  <si>
    <t>Gerente de Eng. Software</t>
  </si>
  <si>
    <t>Analista de Suporte de TI</t>
  </si>
  <si>
    <t>Gerente de Producción</t>
  </si>
  <si>
    <t>Ingeniero de Software</t>
  </si>
  <si>
    <t>Analista de BI II</t>
  </si>
  <si>
    <t>Analista de Dados I</t>
  </si>
  <si>
    <t>Gerente  de TI</t>
  </si>
  <si>
    <t>Gerente de BI</t>
  </si>
  <si>
    <t>Analista de Dados III</t>
  </si>
  <si>
    <t>Contador II</t>
  </si>
  <si>
    <t>Diretor de TI</t>
  </si>
  <si>
    <t>Gerente de TI</t>
  </si>
  <si>
    <t>Analista de BI I</t>
  </si>
  <si>
    <t>Analista de Dados II</t>
  </si>
  <si>
    <t>Diretor de Producción</t>
  </si>
  <si>
    <t>Contador I</t>
  </si>
  <si>
    <t>Gerente Comercial</t>
  </si>
  <si>
    <t>Gerente Administrativo</t>
  </si>
  <si>
    <t>Assistente Administrativo</t>
  </si>
  <si>
    <t>Cargo</t>
  </si>
  <si>
    <t>Reajustar</t>
  </si>
  <si>
    <t>Cantidad</t>
  </si>
  <si>
    <t>Costo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</si>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</sst>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USD]\ #,##0.00"/>
    <numFmt numFmtId="165" formatCode="[$USD]\ #,##0.00;\-[$USD]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33" borderId="0" xfId="0" applyFont="1" applyFill="1" applyAlignment="1">
      <alignment horizontal="left"/>
    </xf>
    <xf numFmtId="14" fontId="19" fillId="33" borderId="0" xfId="0" applyNumberFormat="1" applyFont="1" applyFill="1" applyAlignment="1">
      <alignment horizontal="left"/>
    </xf>
    <xf numFmtId="14" fontId="18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64" fontId="19" fillId="33" borderId="0" xfId="0" applyNumberFormat="1" applyFont="1" applyFill="1" applyAlignment="1">
      <alignment horizontal="left"/>
    </xf>
    <xf numFmtId="164" fontId="18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18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165" fontId="18" fillId="0" borderId="0" xfId="42" applyNumberFormat="1" applyFont="1" applyAlignment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d/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USD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left" vertical="bottom" textRotation="0" wrapText="0" indent="0" justifyLastLine="0" shrinkToFit="0" readingOrder="0"/>
    </dxf>
  </dxfs>
  <tableStyles count="2" defaultTableStyle="Lorennzo" defaultPivotStyle="PivotStyleLight16">
    <tableStyle name="Invisible" pivot="0" table="0" count="0" xr9:uid="{BF38F1AD-39A4-40B3-8C89-3B7AFC6BAACD}"/>
    <tableStyle name="Lorennzo" pivot="0" count="0" xr9:uid="{9A303E37-0058-44E3-A5C8-481DC2A9AA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2.xml"/><Relationship Id="rId7" Type="http://schemas.openxmlformats.org/officeDocument/2006/relationships/sharedStrings" Target="sharedString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3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298450</xdr:colOff>
      <xdr:row>9</xdr:row>
      <xdr:rowOff>133350</xdr:rowOff>
    </xdr:from>
    <xdr:to>
      <xdr:col>11</xdr:col>
      <xdr:colOff>276225</xdr:colOff>
      <xdr:row>16</xdr:row>
      <xdr:rowOff>120650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Estado Civil">
              <a:extLst>
                <a:ext uri="{FF2B5EF4-FFF2-40B4-BE49-F238E27FC236}">
                  <a16:creationId xmlns:a16="http://schemas.microsoft.com/office/drawing/2014/main" id="{B57A3DE8-83CE-F5B7-9DE2-D699721249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Civi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2450" y="1657350"/>
              <a:ext cx="1720850" cy="113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508000</xdr:colOff>
      <xdr:row>11</xdr:row>
      <xdr:rowOff>85725</xdr:rowOff>
    </xdr:from>
    <xdr:to>
      <xdr:col>13</xdr:col>
      <xdr:colOff>171450</xdr:colOff>
      <xdr:row>20</xdr:row>
      <xdr:rowOff>34925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Departamento">
              <a:extLst>
                <a:ext uri="{FF2B5EF4-FFF2-40B4-BE49-F238E27FC236}">
                  <a16:creationId xmlns:a16="http://schemas.microsoft.com/office/drawing/2014/main" id="{0C2F86A5-4A5A-AC5A-CFCC-3E0F90985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05075" y="1990725"/>
              <a:ext cx="1720850" cy="147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292100</xdr:colOff>
      <xdr:row>18</xdr:row>
      <xdr:rowOff>69851</xdr:rowOff>
    </xdr:from>
    <xdr:to>
      <xdr:col>11</xdr:col>
      <xdr:colOff>269875</xdr:colOff>
      <xdr:row>24</xdr:row>
      <xdr:rowOff>69851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Reajustar">
              <a:extLst>
                <a:ext uri="{FF2B5EF4-FFF2-40B4-BE49-F238E27FC236}">
                  <a16:creationId xmlns:a16="http://schemas.microsoft.com/office/drawing/2014/main" id="{A08B49BB-B2A7-3696-BF1E-FDEFB239C4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ajust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46100" y="3117851"/>
              <a:ext cx="172085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Civil" xr10:uid="{C8999B5A-CA9C-4275-BA85-C988FE945220}" sourceName="Estado Civil">
  <extLst>
    <x:ext xmlns:x15="http://schemas.microsoft.com/office/spreadsheetml/2010/11/main" uri="{2F2917AC-EB37-4324-AD4E-5DD8C200BD13}">
      <x15:tableSlicerCache tableId="4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BAED0388-F913-4738-943F-CE458AF9E271}" sourceName="Departamento">
  <extLst>
    <x:ext xmlns:x15="http://schemas.microsoft.com/office/spreadsheetml/2010/11/main" uri="{2F2917AC-EB37-4324-AD4E-5DD8C200BD13}">
      <x15:tableSlicerCache tableId="4" column="6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ajustar" xr10:uid="{EC8689F2-4616-46C7-9C9B-65E53F28877E}" sourceName="Reajustar">
  <extLst>
    <x:ext xmlns:x15="http://schemas.microsoft.com/office/spreadsheetml/2010/11/main" uri="{2F2917AC-EB37-4324-AD4E-5DD8C200BD13}">
      <x15:tableSlicerCache tableId="4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Civil" xr10:uid="{160886FC-5310-4701-95C0-D9F62D824733}" cache="SegmentaciónDeDatos_Estado_Civil" caption="Estado Civil" rowHeight="241300"/>
  <slicer name="Departamento" xr10:uid="{6C997CFE-ED46-419C-8D22-4F4A1C9FE628}" cache="SegmentaciónDeDatos_Departamento" caption="Departamento" rowHeight="241300"/>
  <slicer name="Reajustar" xr10:uid="{6884B6C1-591C-403B-96F6-99F4D3354A8D}" cache="SegmentaciónDeDatos_Reajustar" caption="Reajusta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C4017A-CF87-4EEC-A32D-02410D6C4615}" name="Tabla4" displayName="Tabla4" ref="A1:H209" totalsRowCount="1" headerRowDxfId="18" dataDxfId="17">
  <autoFilter ref="A1:H208" xr:uid="{68C4017A-CF87-4EEC-A32D-02410D6C4615}">
    <filterColumn colId="7">
      <filters>
        <filter val="Reajustar"/>
      </filters>
    </filterColumn>
  </autoFilter>
  <tableColumns count="8">
    <tableColumn id="1" xr3:uid="{C84B10DB-D4E8-4304-8003-3E92DA47EE69}" name="Nombre " totalsRowLabel="Total" dataDxfId="16" totalsRowDxfId="15"/>
    <tableColumn id="2" xr3:uid="{A55918E9-1F02-49BE-A8E5-D9FCD708261A}" name="Cargo" dataDxfId="14" totalsRowDxfId="13"/>
    <tableColumn id="3" xr3:uid="{DB6520A4-563E-41E8-A42A-C2F2324B7B93}" name="Salario " totalsRowFunction="max" dataDxfId="12" totalsRowDxfId="11"/>
    <tableColumn id="4" xr3:uid="{E7439FD1-0C9E-4D8C-8713-14951B22FB1D}" name="Fecha de Nacimiento" dataDxfId="10" totalsRowDxfId="9"/>
    <tableColumn id="5" xr3:uid="{B482C8FE-C916-4491-8617-6E1EDBF8D239}" name="Estado Civil" totalsRowFunction="count" dataDxfId="8" totalsRowDxfId="7"/>
    <tableColumn id="6" xr3:uid="{E8E1950E-8501-4BD2-8871-552BCD197D45}" name="Departamento" dataDxfId="6" totalsRowDxfId="5"/>
    <tableColumn id="7" xr3:uid="{12E93043-A813-4795-A878-02CC7FA1C856}" name="Registro de Performance " dataDxfId="4" totalsRowDxfId="3"/>
    <tableColumn id="8" xr3:uid="{55D00E52-3B6B-403B-8A58-7FD13F057341}" name="Reajustar" totalsRowFunction="count" dataDxfId="2" totalsRowDxfId="1">
      <calculatedColumnFormula>IF(C2&gt;12000,"No reajustar","Reajustar")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F32-EA1E-44D7-BC71-7F187E02E8F2}">
  <sheetPr codeName="Hoja1"/>
  <dimension ref="A1:P209"/>
  <sheetViews>
    <sheetView tabSelected="1" zoomScaleNormal="10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V77" sqref="V77"/>
    </sheetView>
  </sheetViews>
  <sheetFormatPr baseColWidth="10" defaultColWidth="8.7109375" defaultRowHeight="15" x14ac:dyDescent="0.25"/>
  <cols>
    <col min="1" max="2" width="41.5703125" style="2" customWidth="1"/>
    <col min="3" max="3" width="13.7109375" style="9" bestFit="1" customWidth="1"/>
    <col min="4" max="4" width="20.5703125" style="6" bestFit="1" customWidth="1"/>
    <col min="5" max="5" width="12.5703125" style="2" bestFit="1" customWidth="1"/>
    <col min="6" max="6" width="15.42578125" style="2" bestFit="1" customWidth="1"/>
    <col min="7" max="7" width="24.42578125" style="2" bestFit="1" customWidth="1"/>
    <col min="8" max="8" width="24.42578125" style="2" customWidth="1"/>
    <col min="12" max="12" width="15.42578125" style="2" bestFit="1" customWidth="1"/>
    <col min="13" max="14" width="15.42578125" style="2" customWidth="1"/>
    <col min="15" max="15" width="15.28515625" customWidth="1"/>
  </cols>
  <sheetData>
    <row r="1" spans="1:16" x14ac:dyDescent="0.25">
      <c r="A1" s="3" t="s">
        <v>219</v>
      </c>
      <c r="B1" s="3" t="s">
        <v>247</v>
      </c>
      <c r="C1" s="7" t="s">
        <v>6</v>
      </c>
      <c r="D1" s="4" t="s">
        <v>12</v>
      </c>
      <c r="E1" s="3" t="s">
        <v>0</v>
      </c>
      <c r="F1" s="3" t="s">
        <v>1</v>
      </c>
      <c r="G1" s="3" t="s">
        <v>2</v>
      </c>
      <c r="H1" s="3" t="s">
        <v>248</v>
      </c>
      <c r="L1" s="3" t="s">
        <v>1</v>
      </c>
      <c r="M1" s="3" t="s">
        <v>249</v>
      </c>
      <c r="N1" s="3" t="s">
        <v>250</v>
      </c>
    </row>
    <row r="2" spans="1:16" x14ac:dyDescent="0.25">
      <c r="A2" s="1" t="s">
        <v>14</v>
      </c>
      <c r="B2" s="1" t="s">
        <v>223</v>
      </c>
      <c r="C2" s="8">
        <v>3520</v>
      </c>
      <c r="D2" s="5">
        <v>20485</v>
      </c>
      <c r="E2" s="1" t="s">
        <v>7</v>
      </c>
      <c r="F2" s="1" t="s">
        <v>11</v>
      </c>
      <c r="G2" s="1" t="s">
        <v>8</v>
      </c>
      <c r="H2" s="1" t="str">
        <f>IF(C2&gt;12000,"No reajustar","Reajustar")</f>
        <v>Reajustar</v>
      </c>
      <c r="L2" s="1" t="s">
        <v>11</v>
      </c>
      <c r="M2" s="12">
        <f>COUNTIF(F:F,"Ventas")</f>
        <v>125</v>
      </c>
      <c r="N2" s="14">
        <f>SUMIF(F:F,L2,C:C)</f>
        <v>645524</v>
      </c>
    </row>
    <row r="3" spans="1:16" x14ac:dyDescent="0.25">
      <c r="A3" s="1" t="s">
        <v>15</v>
      </c>
      <c r="B3" s="1" t="s">
        <v>220</v>
      </c>
      <c r="C3" s="8">
        <v>11902</v>
      </c>
      <c r="D3" s="5">
        <v>20836</v>
      </c>
      <c r="E3" s="1" t="s">
        <v>3</v>
      </c>
      <c r="F3" s="1" t="s">
        <v>4</v>
      </c>
      <c r="G3" s="1" t="s">
        <v>8</v>
      </c>
      <c r="H3" s="1" t="str">
        <f t="shared" ref="H3:H66" si="0">IF(C3&gt;12000,"No reajustar","Reajustar")</f>
        <v>Reajustar</v>
      </c>
      <c r="L3" s="1" t="s">
        <v>4</v>
      </c>
      <c r="M3" s="12">
        <f>COUNTIF(F:F,"Administrativo")</f>
        <v>47</v>
      </c>
      <c r="N3" s="14">
        <f>SUMIF(F:F,L3,C:C)</f>
        <v>465715</v>
      </c>
    </row>
    <row r="4" spans="1:16" hidden="1" x14ac:dyDescent="0.25">
      <c r="A4" s="1" t="s">
        <v>16</v>
      </c>
      <c r="B4" s="1" t="s">
        <v>221</v>
      </c>
      <c r="C4" s="8">
        <v>17600</v>
      </c>
      <c r="D4" s="5">
        <v>21813</v>
      </c>
      <c r="E4" s="1" t="s">
        <v>3</v>
      </c>
      <c r="F4" s="1" t="s">
        <v>10</v>
      </c>
      <c r="G4" s="1" t="s">
        <v>8</v>
      </c>
      <c r="H4" s="1" t="str">
        <f t="shared" si="0"/>
        <v>No reajustar</v>
      </c>
      <c r="L4" s="1" t="s">
        <v>10</v>
      </c>
      <c r="M4" s="12">
        <f>COUNTIF(F:F,"Producción")</f>
        <v>8</v>
      </c>
      <c r="N4" s="14">
        <f>SUMIF(F:F,L4,C:C)</f>
        <v>66431</v>
      </c>
      <c r="P4" s="1"/>
    </row>
    <row r="5" spans="1:16" x14ac:dyDescent="0.25">
      <c r="A5" s="1" t="s">
        <v>17</v>
      </c>
      <c r="B5" s="1" t="s">
        <v>222</v>
      </c>
      <c r="C5" s="8">
        <v>5400</v>
      </c>
      <c r="D5" s="5">
        <v>21893</v>
      </c>
      <c r="E5" s="1" t="s">
        <v>3</v>
      </c>
      <c r="F5" s="1" t="s">
        <v>5</v>
      </c>
      <c r="G5" s="1" t="s">
        <v>8</v>
      </c>
      <c r="H5" s="1" t="str">
        <f t="shared" si="0"/>
        <v>Reajustar</v>
      </c>
      <c r="L5" s="1" t="s">
        <v>5</v>
      </c>
      <c r="M5" s="12">
        <f>COUNTIF(F:F,"TI")</f>
        <v>27</v>
      </c>
      <c r="N5" s="14">
        <f>SUMIF(F:F,L5,C:C)</f>
        <v>215200</v>
      </c>
      <c r="P5" s="1"/>
    </row>
    <row r="6" spans="1:16" x14ac:dyDescent="0.25">
      <c r="A6" s="1" t="s">
        <v>18</v>
      </c>
      <c r="B6" s="1" t="s">
        <v>223</v>
      </c>
      <c r="C6" s="8">
        <v>4840</v>
      </c>
      <c r="D6" s="5">
        <v>23371</v>
      </c>
      <c r="E6" s="1" t="s">
        <v>7</v>
      </c>
      <c r="F6" s="1" t="s">
        <v>11</v>
      </c>
      <c r="G6" s="1" t="s">
        <v>8</v>
      </c>
      <c r="H6" s="1" t="str">
        <f t="shared" si="0"/>
        <v>Reajustar</v>
      </c>
      <c r="L6" s="10" t="s">
        <v>251</v>
      </c>
      <c r="M6" s="13">
        <f>SUM(M2:M5)</f>
        <v>207</v>
      </c>
      <c r="N6" s="11"/>
      <c r="P6" s="1"/>
    </row>
    <row r="7" spans="1:16" x14ac:dyDescent="0.25">
      <c r="A7" s="1" t="s">
        <v>19</v>
      </c>
      <c r="B7" s="1" t="s">
        <v>223</v>
      </c>
      <c r="C7" s="8">
        <v>3520</v>
      </c>
      <c r="D7" s="5">
        <v>24276</v>
      </c>
      <c r="E7" s="1" t="s">
        <v>7</v>
      </c>
      <c r="F7" s="1" t="s">
        <v>11</v>
      </c>
      <c r="G7" s="1" t="s">
        <v>8</v>
      </c>
      <c r="H7" s="1" t="str">
        <f t="shared" si="0"/>
        <v>Reajustar</v>
      </c>
      <c r="L7"/>
      <c r="M7"/>
      <c r="N7"/>
      <c r="P7" s="1"/>
    </row>
    <row r="8" spans="1:16" x14ac:dyDescent="0.25">
      <c r="A8" s="1" t="s">
        <v>20</v>
      </c>
      <c r="B8" s="1" t="s">
        <v>222</v>
      </c>
      <c r="C8" s="8">
        <v>5400</v>
      </c>
      <c r="D8" s="5">
        <v>24971</v>
      </c>
      <c r="E8" s="1" t="s">
        <v>7</v>
      </c>
      <c r="F8" s="1" t="s">
        <v>5</v>
      </c>
      <c r="G8" s="1" t="s">
        <v>8</v>
      </c>
      <c r="H8" s="1" t="str">
        <f t="shared" si="0"/>
        <v>Reajustar</v>
      </c>
      <c r="L8"/>
      <c r="M8"/>
      <c r="N8"/>
      <c r="P8" s="1"/>
    </row>
    <row r="9" spans="1:16" x14ac:dyDescent="0.25">
      <c r="A9" s="1" t="s">
        <v>21</v>
      </c>
      <c r="B9" s="1" t="s">
        <v>224</v>
      </c>
      <c r="C9" s="8">
        <v>8600</v>
      </c>
      <c r="D9" s="5">
        <v>25076</v>
      </c>
      <c r="E9" s="1" t="s">
        <v>7</v>
      </c>
      <c r="F9" s="1" t="s">
        <v>5</v>
      </c>
      <c r="G9" s="1" t="s">
        <v>8</v>
      </c>
      <c r="H9" s="1" t="str">
        <f t="shared" si="0"/>
        <v>Reajustar</v>
      </c>
      <c r="L9"/>
      <c r="M9"/>
      <c r="N9"/>
    </row>
    <row r="10" spans="1:16" x14ac:dyDescent="0.25">
      <c r="A10" s="1" t="s">
        <v>22</v>
      </c>
      <c r="B10" s="1" t="s">
        <v>225</v>
      </c>
      <c r="C10" s="8">
        <v>4840</v>
      </c>
      <c r="D10" s="5">
        <v>25139</v>
      </c>
      <c r="E10" s="1" t="s">
        <v>7</v>
      </c>
      <c r="F10" s="1" t="s">
        <v>11</v>
      </c>
      <c r="G10" s="1" t="s">
        <v>13</v>
      </c>
      <c r="H10" s="1" t="str">
        <f t="shared" si="0"/>
        <v>Reajustar</v>
      </c>
      <c r="L10"/>
      <c r="M10"/>
      <c r="N10"/>
    </row>
    <row r="11" spans="1:16" x14ac:dyDescent="0.25">
      <c r="A11" s="1" t="s">
        <v>23</v>
      </c>
      <c r="B11" s="1" t="s">
        <v>223</v>
      </c>
      <c r="C11" s="8">
        <v>4180</v>
      </c>
      <c r="D11" s="5">
        <v>25305</v>
      </c>
      <c r="E11" s="1" t="s">
        <v>7</v>
      </c>
      <c r="F11" s="1" t="s">
        <v>11</v>
      </c>
      <c r="G11" s="1" t="s">
        <v>8</v>
      </c>
      <c r="H11" s="1" t="str">
        <f t="shared" si="0"/>
        <v>Reajustar</v>
      </c>
      <c r="L11"/>
      <c r="M11"/>
      <c r="N11"/>
    </row>
    <row r="12" spans="1:16" x14ac:dyDescent="0.25">
      <c r="A12" s="1" t="s">
        <v>24</v>
      </c>
      <c r="B12" s="1" t="s">
        <v>223</v>
      </c>
      <c r="C12" s="8">
        <v>5390</v>
      </c>
      <c r="D12" s="5">
        <v>25600</v>
      </c>
      <c r="E12" s="1" t="s">
        <v>7</v>
      </c>
      <c r="F12" s="1" t="s">
        <v>11</v>
      </c>
      <c r="G12" s="1" t="s">
        <v>8</v>
      </c>
      <c r="H12" s="1" t="str">
        <f t="shared" si="0"/>
        <v>Reajustar</v>
      </c>
      <c r="L12"/>
      <c r="M12"/>
      <c r="N12"/>
    </row>
    <row r="13" spans="1:16" x14ac:dyDescent="0.25">
      <c r="A13" s="1" t="s">
        <v>25</v>
      </c>
      <c r="B13" s="1" t="s">
        <v>226</v>
      </c>
      <c r="C13" s="8">
        <v>10250</v>
      </c>
      <c r="D13" s="5">
        <v>25753</v>
      </c>
      <c r="E13" s="1" t="s">
        <v>7</v>
      </c>
      <c r="F13" s="1" t="s">
        <v>5</v>
      </c>
      <c r="G13" s="1" t="s">
        <v>8</v>
      </c>
      <c r="H13" s="1" t="str">
        <f t="shared" si="0"/>
        <v>Reajustar</v>
      </c>
      <c r="L13"/>
      <c r="M13"/>
      <c r="N13"/>
    </row>
    <row r="14" spans="1:16" x14ac:dyDescent="0.25">
      <c r="A14" s="1" t="s">
        <v>26</v>
      </c>
      <c r="B14" s="1" t="s">
        <v>220</v>
      </c>
      <c r="C14" s="8">
        <v>11660</v>
      </c>
      <c r="D14" s="5">
        <v>25819</v>
      </c>
      <c r="E14" s="1" t="s">
        <v>7</v>
      </c>
      <c r="F14" s="1" t="s">
        <v>4</v>
      </c>
      <c r="G14" s="1" t="s">
        <v>8</v>
      </c>
      <c r="H14" s="1" t="str">
        <f t="shared" si="0"/>
        <v>Reajustar</v>
      </c>
      <c r="L14"/>
      <c r="M14"/>
      <c r="N14"/>
    </row>
    <row r="15" spans="1:16" hidden="1" x14ac:dyDescent="0.25">
      <c r="A15" s="1" t="s">
        <v>27</v>
      </c>
      <c r="B15" s="1" t="s">
        <v>227</v>
      </c>
      <c r="C15" s="8">
        <v>13200</v>
      </c>
      <c r="D15" s="5">
        <v>26008</v>
      </c>
      <c r="E15" s="1" t="s">
        <v>3</v>
      </c>
      <c r="F15" s="1" t="s">
        <v>5</v>
      </c>
      <c r="G15" s="1" t="s">
        <v>8</v>
      </c>
      <c r="H15" s="1" t="str">
        <f t="shared" si="0"/>
        <v>No reajustar</v>
      </c>
      <c r="L15"/>
      <c r="M15"/>
      <c r="N15"/>
    </row>
    <row r="16" spans="1:16" x14ac:dyDescent="0.25">
      <c r="A16" s="1" t="s">
        <v>28</v>
      </c>
      <c r="B16" s="1" t="s">
        <v>223</v>
      </c>
      <c r="C16" s="8">
        <v>4620</v>
      </c>
      <c r="D16" s="5">
        <v>26013</v>
      </c>
      <c r="E16" s="1" t="s">
        <v>7</v>
      </c>
      <c r="F16" s="1" t="s">
        <v>11</v>
      </c>
      <c r="G16" s="1" t="s">
        <v>8</v>
      </c>
      <c r="H16" s="1" t="str">
        <f t="shared" si="0"/>
        <v>Reajustar</v>
      </c>
      <c r="L16"/>
      <c r="M16"/>
      <c r="N16"/>
    </row>
    <row r="17" spans="1:14" x14ac:dyDescent="0.25">
      <c r="A17" s="1" t="s">
        <v>29</v>
      </c>
      <c r="B17" s="1" t="s">
        <v>225</v>
      </c>
      <c r="C17" s="8">
        <v>5940</v>
      </c>
      <c r="D17" s="5">
        <v>26039</v>
      </c>
      <c r="E17" s="1" t="s">
        <v>3</v>
      </c>
      <c r="F17" s="1" t="s">
        <v>11</v>
      </c>
      <c r="G17" s="1" t="s">
        <v>13</v>
      </c>
      <c r="H17" s="1" t="str">
        <f t="shared" si="0"/>
        <v>Reajustar</v>
      </c>
      <c r="L17"/>
      <c r="M17"/>
      <c r="N17"/>
    </row>
    <row r="18" spans="1:14" x14ac:dyDescent="0.25">
      <c r="A18" s="1" t="s">
        <v>30</v>
      </c>
      <c r="B18" s="1" t="s">
        <v>228</v>
      </c>
      <c r="C18" s="8">
        <v>5940</v>
      </c>
      <c r="D18" s="5">
        <v>26258</v>
      </c>
      <c r="E18" s="1" t="s">
        <v>7</v>
      </c>
      <c r="F18" s="1" t="s">
        <v>4</v>
      </c>
      <c r="G18" s="1" t="s">
        <v>8</v>
      </c>
      <c r="H18" s="1" t="str">
        <f t="shared" si="0"/>
        <v>Reajustar</v>
      </c>
      <c r="L18"/>
      <c r="M18"/>
      <c r="N18"/>
    </row>
    <row r="19" spans="1:14" x14ac:dyDescent="0.25">
      <c r="A19" s="1" t="s">
        <v>31</v>
      </c>
      <c r="B19" s="1" t="s">
        <v>223</v>
      </c>
      <c r="C19" s="8">
        <v>3300</v>
      </c>
      <c r="D19" s="5">
        <v>26362</v>
      </c>
      <c r="E19" s="1" t="s">
        <v>7</v>
      </c>
      <c r="F19" s="1" t="s">
        <v>11</v>
      </c>
      <c r="G19" s="1" t="s">
        <v>13</v>
      </c>
      <c r="H19" s="1" t="str">
        <f t="shared" si="0"/>
        <v>Reajustar</v>
      </c>
      <c r="L19"/>
      <c r="M19"/>
      <c r="N19"/>
    </row>
    <row r="20" spans="1:14" x14ac:dyDescent="0.25">
      <c r="A20" s="1" t="s">
        <v>32</v>
      </c>
      <c r="B20" s="1" t="s">
        <v>223</v>
      </c>
      <c r="C20" s="8">
        <v>4400</v>
      </c>
      <c r="D20" s="5">
        <v>26406</v>
      </c>
      <c r="E20" s="1" t="s">
        <v>3</v>
      </c>
      <c r="F20" s="1" t="s">
        <v>11</v>
      </c>
      <c r="G20" s="1" t="s">
        <v>9</v>
      </c>
      <c r="H20" s="1" t="str">
        <f t="shared" si="0"/>
        <v>Reajustar</v>
      </c>
      <c r="L20"/>
      <c r="M20"/>
      <c r="N20"/>
    </row>
    <row r="21" spans="1:14" x14ac:dyDescent="0.25">
      <c r="A21" s="1" t="s">
        <v>33</v>
      </c>
      <c r="B21" s="1" t="s">
        <v>223</v>
      </c>
      <c r="C21" s="8">
        <v>5280</v>
      </c>
      <c r="D21" s="5">
        <v>26423</v>
      </c>
      <c r="E21" s="1" t="s">
        <v>7</v>
      </c>
      <c r="F21" s="1" t="s">
        <v>11</v>
      </c>
      <c r="G21" s="1" t="s">
        <v>8</v>
      </c>
      <c r="H21" s="1" t="str">
        <f t="shared" si="0"/>
        <v>Reajustar</v>
      </c>
      <c r="L21"/>
      <c r="M21"/>
      <c r="N21"/>
    </row>
    <row r="22" spans="1:14" x14ac:dyDescent="0.25">
      <c r="A22" s="1" t="s">
        <v>34</v>
      </c>
      <c r="B22" s="1" t="s">
        <v>226</v>
      </c>
      <c r="C22" s="8">
        <v>11200</v>
      </c>
      <c r="D22" s="5">
        <v>26677</v>
      </c>
      <c r="E22" s="1" t="s">
        <v>7</v>
      </c>
      <c r="F22" s="1" t="s">
        <v>5</v>
      </c>
      <c r="G22" s="1" t="s">
        <v>13</v>
      </c>
      <c r="H22" s="1" t="str">
        <f t="shared" si="0"/>
        <v>Reajustar</v>
      </c>
      <c r="L22"/>
      <c r="M22"/>
      <c r="N22"/>
    </row>
    <row r="23" spans="1:14" x14ac:dyDescent="0.25">
      <c r="A23" s="1" t="s">
        <v>35</v>
      </c>
      <c r="B23" s="1" t="s">
        <v>223</v>
      </c>
      <c r="C23" s="8">
        <v>4400</v>
      </c>
      <c r="D23" s="5">
        <v>26820</v>
      </c>
      <c r="E23" s="1" t="s">
        <v>7</v>
      </c>
      <c r="F23" s="1" t="s">
        <v>11</v>
      </c>
      <c r="G23" s="1" t="s">
        <v>9</v>
      </c>
      <c r="H23" s="1" t="str">
        <f t="shared" si="0"/>
        <v>Reajustar</v>
      </c>
      <c r="L23"/>
      <c r="M23"/>
      <c r="N23"/>
    </row>
    <row r="24" spans="1:14" x14ac:dyDescent="0.25">
      <c r="A24" s="1" t="s">
        <v>36</v>
      </c>
      <c r="B24" s="1" t="s">
        <v>229</v>
      </c>
      <c r="C24" s="8">
        <v>6908</v>
      </c>
      <c r="D24" s="5">
        <v>26821</v>
      </c>
      <c r="E24" s="1" t="s">
        <v>7</v>
      </c>
      <c r="F24" s="1" t="s">
        <v>4</v>
      </c>
      <c r="G24" s="1" t="s">
        <v>8</v>
      </c>
      <c r="H24" s="1" t="str">
        <f t="shared" si="0"/>
        <v>Reajustar</v>
      </c>
      <c r="L24"/>
      <c r="M24"/>
      <c r="N24"/>
    </row>
    <row r="25" spans="1:14" x14ac:dyDescent="0.25">
      <c r="A25" s="1" t="s">
        <v>37</v>
      </c>
      <c r="B25" s="1" t="s">
        <v>223</v>
      </c>
      <c r="C25" s="8">
        <v>3520</v>
      </c>
      <c r="D25" s="5">
        <v>26864</v>
      </c>
      <c r="E25" s="1" t="s">
        <v>3</v>
      </c>
      <c r="F25" s="1" t="s">
        <v>11</v>
      </c>
      <c r="G25" s="1" t="s">
        <v>9</v>
      </c>
      <c r="H25" s="1" t="str">
        <f t="shared" si="0"/>
        <v>Reajustar</v>
      </c>
      <c r="L25"/>
      <c r="M25"/>
      <c r="N25"/>
    </row>
    <row r="26" spans="1:14" x14ac:dyDescent="0.25">
      <c r="A26" s="1" t="s">
        <v>38</v>
      </c>
      <c r="B26" s="1" t="s">
        <v>223</v>
      </c>
      <c r="C26" s="8">
        <v>3080</v>
      </c>
      <c r="D26" s="5">
        <v>26890</v>
      </c>
      <c r="E26" s="1" t="s">
        <v>7</v>
      </c>
      <c r="F26" s="1" t="s">
        <v>11</v>
      </c>
      <c r="G26" s="1" t="s">
        <v>8</v>
      </c>
      <c r="H26" s="1" t="str">
        <f t="shared" si="0"/>
        <v>Reajustar</v>
      </c>
      <c r="L26"/>
      <c r="M26"/>
      <c r="N26"/>
    </row>
    <row r="27" spans="1:14" x14ac:dyDescent="0.25">
      <c r="A27" s="1" t="s">
        <v>39</v>
      </c>
      <c r="B27" s="1" t="s">
        <v>230</v>
      </c>
      <c r="C27" s="8">
        <v>11990</v>
      </c>
      <c r="D27" s="5">
        <v>26946</v>
      </c>
      <c r="E27" s="1" t="s">
        <v>7</v>
      </c>
      <c r="F27" s="1" t="s">
        <v>11</v>
      </c>
      <c r="G27" s="1" t="s">
        <v>8</v>
      </c>
      <c r="H27" s="1" t="str">
        <f t="shared" si="0"/>
        <v>Reajustar</v>
      </c>
      <c r="L27"/>
      <c r="M27"/>
      <c r="N27"/>
    </row>
    <row r="28" spans="1:14" x14ac:dyDescent="0.25">
      <c r="A28" s="1" t="s">
        <v>40</v>
      </c>
      <c r="B28" s="1" t="s">
        <v>222</v>
      </c>
      <c r="C28" s="8">
        <v>4250</v>
      </c>
      <c r="D28" s="5">
        <v>27083</v>
      </c>
      <c r="E28" s="1" t="s">
        <v>7</v>
      </c>
      <c r="F28" s="1" t="s">
        <v>5</v>
      </c>
      <c r="G28" s="1" t="s">
        <v>8</v>
      </c>
      <c r="H28" s="1" t="str">
        <f t="shared" si="0"/>
        <v>Reajustar</v>
      </c>
      <c r="L28"/>
      <c r="M28"/>
      <c r="N28"/>
    </row>
    <row r="29" spans="1:14" x14ac:dyDescent="0.25">
      <c r="A29" s="1" t="s">
        <v>41</v>
      </c>
      <c r="B29" s="1" t="s">
        <v>231</v>
      </c>
      <c r="C29" s="8">
        <v>10802</v>
      </c>
      <c r="D29" s="5">
        <v>27118</v>
      </c>
      <c r="E29" s="1" t="s">
        <v>3</v>
      </c>
      <c r="F29" s="1" t="s">
        <v>4</v>
      </c>
      <c r="G29" s="1" t="s">
        <v>8</v>
      </c>
      <c r="H29" s="1" t="str">
        <f t="shared" si="0"/>
        <v>Reajustar</v>
      </c>
      <c r="L29"/>
      <c r="M29"/>
      <c r="N29"/>
    </row>
    <row r="30" spans="1:14" x14ac:dyDescent="0.25">
      <c r="A30" s="1" t="s">
        <v>42</v>
      </c>
      <c r="B30" s="1" t="s">
        <v>225</v>
      </c>
      <c r="C30" s="8">
        <v>5500</v>
      </c>
      <c r="D30" s="5">
        <v>27249</v>
      </c>
      <c r="E30" s="1" t="s">
        <v>7</v>
      </c>
      <c r="F30" s="1" t="s">
        <v>11</v>
      </c>
      <c r="G30" s="1" t="s">
        <v>13</v>
      </c>
      <c r="H30" s="1" t="str">
        <f t="shared" si="0"/>
        <v>Reajustar</v>
      </c>
      <c r="L30"/>
      <c r="M30"/>
      <c r="N30"/>
    </row>
    <row r="31" spans="1:14" x14ac:dyDescent="0.25">
      <c r="A31" s="1" t="s">
        <v>43</v>
      </c>
      <c r="B31" s="1" t="s">
        <v>223</v>
      </c>
      <c r="C31" s="8">
        <v>3520</v>
      </c>
      <c r="D31" s="5">
        <v>27300</v>
      </c>
      <c r="E31" s="1" t="s">
        <v>7</v>
      </c>
      <c r="F31" s="1" t="s">
        <v>11</v>
      </c>
      <c r="G31" s="1" t="s">
        <v>13</v>
      </c>
      <c r="H31" s="1" t="str">
        <f t="shared" si="0"/>
        <v>Reajustar</v>
      </c>
      <c r="L31"/>
      <c r="M31"/>
      <c r="N31"/>
    </row>
    <row r="32" spans="1:14" x14ac:dyDescent="0.25">
      <c r="A32" s="1" t="s">
        <v>44</v>
      </c>
      <c r="B32" s="1" t="s">
        <v>223</v>
      </c>
      <c r="C32" s="8">
        <v>4400</v>
      </c>
      <c r="D32" s="5">
        <v>27331</v>
      </c>
      <c r="E32" s="1" t="s">
        <v>7</v>
      </c>
      <c r="F32" s="1" t="s">
        <v>11</v>
      </c>
      <c r="G32" s="1" t="s">
        <v>8</v>
      </c>
      <c r="H32" s="1" t="str">
        <f t="shared" si="0"/>
        <v>Reajustar</v>
      </c>
      <c r="L32"/>
      <c r="M32"/>
      <c r="N32"/>
    </row>
    <row r="33" spans="1:14" x14ac:dyDescent="0.25">
      <c r="A33" s="1" t="s">
        <v>45</v>
      </c>
      <c r="B33" s="1" t="s">
        <v>225</v>
      </c>
      <c r="C33" s="8">
        <v>5500</v>
      </c>
      <c r="D33" s="5">
        <v>27507</v>
      </c>
      <c r="E33" s="1" t="s">
        <v>7</v>
      </c>
      <c r="F33" s="1" t="s">
        <v>11</v>
      </c>
      <c r="G33" s="1" t="s">
        <v>13</v>
      </c>
      <c r="H33" s="1" t="str">
        <f t="shared" si="0"/>
        <v>Reajustar</v>
      </c>
      <c r="L33"/>
      <c r="M33"/>
      <c r="N33"/>
    </row>
    <row r="34" spans="1:14" x14ac:dyDescent="0.25">
      <c r="A34" s="1" t="s">
        <v>46</v>
      </c>
      <c r="B34" s="1" t="s">
        <v>232</v>
      </c>
      <c r="C34" s="8">
        <v>10500</v>
      </c>
      <c r="D34" s="5">
        <v>27508</v>
      </c>
      <c r="E34" s="1" t="s">
        <v>7</v>
      </c>
      <c r="F34" s="1" t="s">
        <v>4</v>
      </c>
      <c r="G34" s="1" t="s">
        <v>8</v>
      </c>
      <c r="H34" s="1" t="str">
        <f t="shared" si="0"/>
        <v>Reajustar</v>
      </c>
      <c r="L34"/>
      <c r="M34"/>
      <c r="N34"/>
    </row>
    <row r="35" spans="1:14" x14ac:dyDescent="0.25">
      <c r="A35" s="1" t="s">
        <v>47</v>
      </c>
      <c r="B35" s="1" t="s">
        <v>233</v>
      </c>
      <c r="C35" s="8">
        <v>6644</v>
      </c>
      <c r="D35" s="5">
        <v>27607</v>
      </c>
      <c r="E35" s="1" t="s">
        <v>3</v>
      </c>
      <c r="F35" s="1" t="s">
        <v>4</v>
      </c>
      <c r="G35" s="1" t="s">
        <v>8</v>
      </c>
      <c r="H35" s="1" t="str">
        <f t="shared" si="0"/>
        <v>Reajustar</v>
      </c>
      <c r="L35"/>
      <c r="M35"/>
      <c r="N35"/>
    </row>
    <row r="36" spans="1:14" hidden="1" x14ac:dyDescent="0.25">
      <c r="A36" s="1" t="s">
        <v>48</v>
      </c>
      <c r="B36" s="1" t="s">
        <v>234</v>
      </c>
      <c r="C36" s="8">
        <v>14080</v>
      </c>
      <c r="D36" s="5">
        <v>27643</v>
      </c>
      <c r="E36" s="1" t="s">
        <v>7</v>
      </c>
      <c r="F36" s="1" t="s">
        <v>4</v>
      </c>
      <c r="G36" s="1" t="s">
        <v>13</v>
      </c>
      <c r="H36" s="1" t="str">
        <f t="shared" si="0"/>
        <v>No reajustar</v>
      </c>
      <c r="L36"/>
      <c r="M36"/>
      <c r="N36"/>
    </row>
    <row r="37" spans="1:14" x14ac:dyDescent="0.25">
      <c r="A37" s="1" t="s">
        <v>49</v>
      </c>
      <c r="B37" s="1" t="s">
        <v>223</v>
      </c>
      <c r="C37" s="8">
        <v>4840</v>
      </c>
      <c r="D37" s="5">
        <v>27693</v>
      </c>
      <c r="E37" s="1" t="s">
        <v>7</v>
      </c>
      <c r="F37" s="1" t="s">
        <v>11</v>
      </c>
      <c r="G37" s="1" t="s">
        <v>8</v>
      </c>
      <c r="H37" s="1" t="str">
        <f t="shared" si="0"/>
        <v>Reajustar</v>
      </c>
      <c r="L37"/>
      <c r="M37"/>
      <c r="N37"/>
    </row>
    <row r="38" spans="1:14" x14ac:dyDescent="0.25">
      <c r="A38" s="1" t="s">
        <v>50</v>
      </c>
      <c r="B38" s="1" t="s">
        <v>223</v>
      </c>
      <c r="C38" s="8">
        <v>4840</v>
      </c>
      <c r="D38" s="5">
        <v>27699</v>
      </c>
      <c r="E38" s="1" t="s">
        <v>7</v>
      </c>
      <c r="F38" s="1" t="s">
        <v>11</v>
      </c>
      <c r="G38" s="1" t="s">
        <v>8</v>
      </c>
      <c r="H38" s="1" t="str">
        <f t="shared" si="0"/>
        <v>Reajustar</v>
      </c>
      <c r="L38"/>
      <c r="M38"/>
      <c r="N38"/>
    </row>
    <row r="39" spans="1:14" x14ac:dyDescent="0.25">
      <c r="A39" s="1" t="s">
        <v>51</v>
      </c>
      <c r="B39" s="1" t="s">
        <v>224</v>
      </c>
      <c r="C39" s="8">
        <v>8600</v>
      </c>
      <c r="D39" s="5">
        <v>27703</v>
      </c>
      <c r="E39" s="1" t="s">
        <v>7</v>
      </c>
      <c r="F39" s="1" t="s">
        <v>5</v>
      </c>
      <c r="G39" s="1" t="s">
        <v>8</v>
      </c>
      <c r="H39" s="1" t="str">
        <f t="shared" si="0"/>
        <v>Reajustar</v>
      </c>
      <c r="L39"/>
      <c r="M39"/>
      <c r="N39"/>
    </row>
    <row r="40" spans="1:14" x14ac:dyDescent="0.25">
      <c r="A40" s="1" t="s">
        <v>52</v>
      </c>
      <c r="B40" s="1" t="s">
        <v>223</v>
      </c>
      <c r="C40" s="8">
        <v>3520</v>
      </c>
      <c r="D40" s="5">
        <v>27749</v>
      </c>
      <c r="E40" s="1" t="s">
        <v>7</v>
      </c>
      <c r="F40" s="1" t="s">
        <v>11</v>
      </c>
      <c r="G40" s="1" t="s">
        <v>8</v>
      </c>
      <c r="H40" s="1" t="str">
        <f t="shared" si="0"/>
        <v>Reajustar</v>
      </c>
      <c r="L40"/>
      <c r="M40"/>
      <c r="N40"/>
    </row>
    <row r="41" spans="1:14" x14ac:dyDescent="0.25">
      <c r="A41" s="1" t="s">
        <v>53</v>
      </c>
      <c r="B41" s="1" t="s">
        <v>235</v>
      </c>
      <c r="C41" s="8">
        <v>11150</v>
      </c>
      <c r="D41" s="5">
        <v>28369</v>
      </c>
      <c r="E41" s="1" t="s">
        <v>3</v>
      </c>
      <c r="F41" s="1" t="s">
        <v>4</v>
      </c>
      <c r="G41" s="1" t="s">
        <v>8</v>
      </c>
      <c r="H41" s="1" t="str">
        <f t="shared" si="0"/>
        <v>Reajustar</v>
      </c>
      <c r="L41"/>
      <c r="M41"/>
      <c r="N41"/>
    </row>
    <row r="42" spans="1:14" x14ac:dyDescent="0.25">
      <c r="A42" s="1" t="s">
        <v>54</v>
      </c>
      <c r="B42" s="1" t="s">
        <v>223</v>
      </c>
      <c r="C42" s="8">
        <v>4400</v>
      </c>
      <c r="D42" s="5">
        <v>28437</v>
      </c>
      <c r="E42" s="1" t="s">
        <v>7</v>
      </c>
      <c r="F42" s="1" t="s">
        <v>11</v>
      </c>
      <c r="G42" s="1" t="s">
        <v>8</v>
      </c>
      <c r="H42" s="1" t="str">
        <f t="shared" si="0"/>
        <v>Reajustar</v>
      </c>
      <c r="L42"/>
      <c r="M42"/>
      <c r="N42"/>
    </row>
    <row r="43" spans="1:14" hidden="1" x14ac:dyDescent="0.25">
      <c r="A43" s="1" t="s">
        <v>55</v>
      </c>
      <c r="B43" s="1" t="s">
        <v>236</v>
      </c>
      <c r="C43" s="8">
        <v>12100</v>
      </c>
      <c r="D43" s="5">
        <v>28449</v>
      </c>
      <c r="E43" s="1" t="s">
        <v>7</v>
      </c>
      <c r="F43" s="1" t="s">
        <v>4</v>
      </c>
      <c r="G43" s="1" t="s">
        <v>8</v>
      </c>
      <c r="H43" s="1" t="str">
        <f t="shared" si="0"/>
        <v>No reajustar</v>
      </c>
      <c r="L43"/>
      <c r="M43"/>
      <c r="N43"/>
    </row>
    <row r="44" spans="1:14" hidden="1" x14ac:dyDescent="0.25">
      <c r="A44" s="1" t="s">
        <v>56</v>
      </c>
      <c r="B44" s="1" t="s">
        <v>234</v>
      </c>
      <c r="C44" s="8">
        <v>13640</v>
      </c>
      <c r="D44" s="5">
        <v>28613</v>
      </c>
      <c r="E44" s="1" t="s">
        <v>7</v>
      </c>
      <c r="F44" s="1" t="s">
        <v>4</v>
      </c>
      <c r="G44" s="1" t="s">
        <v>8</v>
      </c>
      <c r="H44" s="1" t="str">
        <f t="shared" si="0"/>
        <v>No reajustar</v>
      </c>
      <c r="L44"/>
      <c r="M44"/>
      <c r="N44"/>
    </row>
    <row r="45" spans="1:14" x14ac:dyDescent="0.25">
      <c r="A45" s="1" t="s">
        <v>57</v>
      </c>
      <c r="B45" s="1" t="s">
        <v>223</v>
      </c>
      <c r="C45" s="8">
        <v>3740</v>
      </c>
      <c r="D45" s="5">
        <v>28755</v>
      </c>
      <c r="E45" s="1" t="s">
        <v>3</v>
      </c>
      <c r="F45" s="1" t="s">
        <v>11</v>
      </c>
      <c r="G45" s="1" t="s">
        <v>8</v>
      </c>
      <c r="H45" s="1" t="str">
        <f t="shared" si="0"/>
        <v>Reajustar</v>
      </c>
      <c r="L45"/>
      <c r="M45"/>
      <c r="N45"/>
    </row>
    <row r="46" spans="1:14" x14ac:dyDescent="0.25">
      <c r="A46" s="1" t="s">
        <v>58</v>
      </c>
      <c r="B46" s="1" t="s">
        <v>230</v>
      </c>
      <c r="C46" s="8">
        <v>11220</v>
      </c>
      <c r="D46" s="5">
        <v>28821</v>
      </c>
      <c r="E46" s="1" t="s">
        <v>7</v>
      </c>
      <c r="F46" s="1" t="s">
        <v>11</v>
      </c>
      <c r="G46" s="1" t="s">
        <v>8</v>
      </c>
      <c r="H46" s="1" t="str">
        <f t="shared" si="0"/>
        <v>Reajustar</v>
      </c>
      <c r="L46"/>
      <c r="M46"/>
      <c r="N46"/>
    </row>
    <row r="47" spans="1:14" x14ac:dyDescent="0.25">
      <c r="A47" s="1" t="s">
        <v>59</v>
      </c>
      <c r="B47" s="1" t="s">
        <v>223</v>
      </c>
      <c r="C47" s="8">
        <v>4840</v>
      </c>
      <c r="D47" s="5">
        <v>28824</v>
      </c>
      <c r="E47" s="1" t="s">
        <v>3</v>
      </c>
      <c r="F47" s="1" t="s">
        <v>11</v>
      </c>
      <c r="G47" s="1" t="s">
        <v>13</v>
      </c>
      <c r="H47" s="1" t="str">
        <f t="shared" si="0"/>
        <v>Reajustar</v>
      </c>
      <c r="L47"/>
      <c r="M47"/>
      <c r="N47"/>
    </row>
    <row r="48" spans="1:14" x14ac:dyDescent="0.25">
      <c r="A48" s="1" t="s">
        <v>60</v>
      </c>
      <c r="B48" s="1" t="s">
        <v>229</v>
      </c>
      <c r="C48" s="8">
        <v>6048</v>
      </c>
      <c r="D48" s="5">
        <v>28826</v>
      </c>
      <c r="E48" s="1" t="s">
        <v>3</v>
      </c>
      <c r="F48" s="1" t="s">
        <v>4</v>
      </c>
      <c r="G48" s="1" t="s">
        <v>8</v>
      </c>
      <c r="H48" s="1" t="str">
        <f t="shared" si="0"/>
        <v>Reajustar</v>
      </c>
      <c r="L48"/>
      <c r="M48"/>
      <c r="N48"/>
    </row>
    <row r="49" spans="1:14" x14ac:dyDescent="0.25">
      <c r="A49" s="1" t="s">
        <v>61</v>
      </c>
      <c r="B49" s="1" t="s">
        <v>225</v>
      </c>
      <c r="C49" s="8">
        <v>6380</v>
      </c>
      <c r="D49" s="5">
        <v>28866</v>
      </c>
      <c r="E49" s="1" t="s">
        <v>7</v>
      </c>
      <c r="F49" s="1" t="s">
        <v>11</v>
      </c>
      <c r="G49" s="1" t="s">
        <v>8</v>
      </c>
      <c r="H49" s="1" t="str">
        <f t="shared" si="0"/>
        <v>Reajustar</v>
      </c>
      <c r="L49"/>
      <c r="M49"/>
      <c r="N49"/>
    </row>
    <row r="50" spans="1:14" x14ac:dyDescent="0.25">
      <c r="A50" s="1" t="s">
        <v>62</v>
      </c>
      <c r="B50" s="1" t="s">
        <v>223</v>
      </c>
      <c r="C50" s="8">
        <v>4400</v>
      </c>
      <c r="D50" s="5">
        <v>28890</v>
      </c>
      <c r="E50" s="1" t="s">
        <v>3</v>
      </c>
      <c r="F50" s="1" t="s">
        <v>11</v>
      </c>
      <c r="G50" s="1" t="s">
        <v>13</v>
      </c>
      <c r="H50" s="1" t="str">
        <f t="shared" si="0"/>
        <v>Reajustar</v>
      </c>
      <c r="L50"/>
      <c r="M50"/>
      <c r="N50"/>
    </row>
    <row r="51" spans="1:14" x14ac:dyDescent="0.25">
      <c r="A51" s="1" t="s">
        <v>63</v>
      </c>
      <c r="B51" s="1" t="s">
        <v>223</v>
      </c>
      <c r="C51" s="8">
        <v>3740</v>
      </c>
      <c r="D51" s="5">
        <v>28986</v>
      </c>
      <c r="E51" s="1" t="s">
        <v>7</v>
      </c>
      <c r="F51" s="1" t="s">
        <v>11</v>
      </c>
      <c r="G51" s="1" t="s">
        <v>8</v>
      </c>
      <c r="H51" s="1" t="str">
        <f t="shared" si="0"/>
        <v>Reajustar</v>
      </c>
      <c r="L51"/>
      <c r="M51"/>
      <c r="N51"/>
    </row>
    <row r="52" spans="1:14" x14ac:dyDescent="0.25">
      <c r="A52" s="1" t="s">
        <v>64</v>
      </c>
      <c r="B52" s="1" t="s">
        <v>223</v>
      </c>
      <c r="C52" s="8">
        <v>4675</v>
      </c>
      <c r="D52" s="5">
        <v>29005</v>
      </c>
      <c r="E52" s="1" t="s">
        <v>7</v>
      </c>
      <c r="F52" s="1" t="s">
        <v>11</v>
      </c>
      <c r="G52" s="1" t="s">
        <v>8</v>
      </c>
      <c r="H52" s="1" t="str">
        <f t="shared" si="0"/>
        <v>Reajustar</v>
      </c>
      <c r="L52"/>
      <c r="M52"/>
      <c r="N52"/>
    </row>
    <row r="53" spans="1:14" x14ac:dyDescent="0.25">
      <c r="A53" s="1" t="s">
        <v>65</v>
      </c>
      <c r="B53" s="1" t="s">
        <v>223</v>
      </c>
      <c r="C53" s="8">
        <v>5060</v>
      </c>
      <c r="D53" s="5">
        <v>29046</v>
      </c>
      <c r="E53" s="1" t="s">
        <v>3</v>
      </c>
      <c r="F53" s="1" t="s">
        <v>11</v>
      </c>
      <c r="G53" s="1" t="s">
        <v>8</v>
      </c>
      <c r="H53" s="1" t="str">
        <f t="shared" si="0"/>
        <v>Reajustar</v>
      </c>
      <c r="L53"/>
      <c r="M53"/>
      <c r="N53"/>
    </row>
    <row r="54" spans="1:14" x14ac:dyDescent="0.25">
      <c r="A54" s="1" t="s">
        <v>66</v>
      </c>
      <c r="B54" s="1" t="s">
        <v>224</v>
      </c>
      <c r="C54" s="8">
        <v>8600</v>
      </c>
      <c r="D54" s="5">
        <v>29102</v>
      </c>
      <c r="E54" s="1" t="s">
        <v>3</v>
      </c>
      <c r="F54" s="1" t="s">
        <v>5</v>
      </c>
      <c r="G54" s="1" t="s">
        <v>9</v>
      </c>
      <c r="H54" s="1" t="str">
        <f t="shared" si="0"/>
        <v>Reajustar</v>
      </c>
      <c r="L54"/>
      <c r="M54"/>
      <c r="N54"/>
    </row>
    <row r="55" spans="1:14" x14ac:dyDescent="0.25">
      <c r="A55" s="1" t="s">
        <v>67</v>
      </c>
      <c r="B55" s="1" t="s">
        <v>223</v>
      </c>
      <c r="C55" s="8">
        <v>5280</v>
      </c>
      <c r="D55" s="5">
        <v>29107</v>
      </c>
      <c r="E55" s="1" t="s">
        <v>3</v>
      </c>
      <c r="F55" s="1" t="s">
        <v>11</v>
      </c>
      <c r="G55" s="1" t="s">
        <v>8</v>
      </c>
      <c r="H55" s="1" t="str">
        <f t="shared" si="0"/>
        <v>Reajustar</v>
      </c>
      <c r="L55"/>
      <c r="M55"/>
      <c r="N55"/>
    </row>
    <row r="56" spans="1:14" x14ac:dyDescent="0.25">
      <c r="A56" s="1" t="s">
        <v>68</v>
      </c>
      <c r="B56" s="1" t="s">
        <v>222</v>
      </c>
      <c r="C56" s="8">
        <v>5500</v>
      </c>
      <c r="D56" s="5">
        <v>29261</v>
      </c>
      <c r="E56" s="1" t="s">
        <v>7</v>
      </c>
      <c r="F56" s="1" t="s">
        <v>5</v>
      </c>
      <c r="G56" s="1" t="s">
        <v>9</v>
      </c>
      <c r="H56" s="1" t="str">
        <f t="shared" si="0"/>
        <v>Reajustar</v>
      </c>
      <c r="L56"/>
      <c r="M56"/>
      <c r="N56"/>
    </row>
    <row r="57" spans="1:14" x14ac:dyDescent="0.25">
      <c r="A57" s="1" t="s">
        <v>69</v>
      </c>
      <c r="B57" s="1" t="s">
        <v>224</v>
      </c>
      <c r="C57" s="8">
        <v>7500</v>
      </c>
      <c r="D57" s="5">
        <v>29407</v>
      </c>
      <c r="E57" s="1" t="s">
        <v>3</v>
      </c>
      <c r="F57" s="1" t="s">
        <v>5</v>
      </c>
      <c r="G57" s="1" t="s">
        <v>8</v>
      </c>
      <c r="H57" s="1" t="str">
        <f t="shared" si="0"/>
        <v>Reajustar</v>
      </c>
      <c r="L57"/>
      <c r="M57"/>
      <c r="N57"/>
    </row>
    <row r="58" spans="1:14" x14ac:dyDescent="0.25">
      <c r="A58" s="1" t="s">
        <v>70</v>
      </c>
      <c r="B58" s="1" t="s">
        <v>230</v>
      </c>
      <c r="C58" s="8">
        <v>11440</v>
      </c>
      <c r="D58" s="5">
        <v>29492</v>
      </c>
      <c r="E58" s="1" t="s">
        <v>3</v>
      </c>
      <c r="F58" s="1" t="s">
        <v>11</v>
      </c>
      <c r="G58" s="1" t="s">
        <v>8</v>
      </c>
      <c r="H58" s="1" t="str">
        <f t="shared" si="0"/>
        <v>Reajustar</v>
      </c>
      <c r="L58"/>
      <c r="M58"/>
      <c r="N58"/>
    </row>
    <row r="59" spans="1:14" x14ac:dyDescent="0.25">
      <c r="A59" s="1" t="s">
        <v>71</v>
      </c>
      <c r="B59" s="1" t="s">
        <v>223</v>
      </c>
      <c r="C59" s="8">
        <v>3344</v>
      </c>
      <c r="D59" s="5">
        <v>29495</v>
      </c>
      <c r="E59" s="1" t="s">
        <v>7</v>
      </c>
      <c r="F59" s="1" t="s">
        <v>11</v>
      </c>
      <c r="G59" s="1" t="s">
        <v>8</v>
      </c>
      <c r="H59" s="1" t="str">
        <f t="shared" si="0"/>
        <v>Reajustar</v>
      </c>
      <c r="L59"/>
      <c r="M59"/>
      <c r="N59"/>
    </row>
    <row r="60" spans="1:14" x14ac:dyDescent="0.25">
      <c r="A60" s="1" t="s">
        <v>72</v>
      </c>
      <c r="B60" s="1" t="s">
        <v>223</v>
      </c>
      <c r="C60" s="8">
        <v>4400</v>
      </c>
      <c r="D60" s="5">
        <v>29514</v>
      </c>
      <c r="E60" s="1" t="s">
        <v>3</v>
      </c>
      <c r="F60" s="1" t="s">
        <v>11</v>
      </c>
      <c r="G60" s="1" t="s">
        <v>8</v>
      </c>
      <c r="H60" s="1" t="str">
        <f t="shared" si="0"/>
        <v>Reajustar</v>
      </c>
      <c r="L60"/>
      <c r="M60"/>
      <c r="N60"/>
    </row>
    <row r="61" spans="1:14" x14ac:dyDescent="0.25">
      <c r="A61" s="1" t="s">
        <v>73</v>
      </c>
      <c r="B61" s="1" t="s">
        <v>230</v>
      </c>
      <c r="C61" s="8">
        <v>11660</v>
      </c>
      <c r="D61" s="5">
        <v>29570</v>
      </c>
      <c r="E61" s="1" t="s">
        <v>7</v>
      </c>
      <c r="F61" s="1" t="s">
        <v>11</v>
      </c>
      <c r="G61" s="1" t="s">
        <v>9</v>
      </c>
      <c r="H61" s="1" t="str">
        <f t="shared" si="0"/>
        <v>Reajustar</v>
      </c>
      <c r="L61"/>
      <c r="M61"/>
      <c r="N61"/>
    </row>
    <row r="62" spans="1:14" x14ac:dyDescent="0.25">
      <c r="A62" s="1" t="s">
        <v>74</v>
      </c>
      <c r="B62" s="1" t="s">
        <v>223</v>
      </c>
      <c r="C62" s="8">
        <v>4180</v>
      </c>
      <c r="D62" s="5">
        <v>29603</v>
      </c>
      <c r="E62" s="1" t="s">
        <v>7</v>
      </c>
      <c r="F62" s="1" t="s">
        <v>11</v>
      </c>
      <c r="G62" s="1" t="s">
        <v>8</v>
      </c>
      <c r="H62" s="1" t="str">
        <f t="shared" si="0"/>
        <v>Reajustar</v>
      </c>
      <c r="L62"/>
      <c r="M62"/>
      <c r="N62"/>
    </row>
    <row r="63" spans="1:14" x14ac:dyDescent="0.25">
      <c r="A63" s="1" t="s">
        <v>75</v>
      </c>
      <c r="B63" s="1" t="s">
        <v>225</v>
      </c>
      <c r="C63" s="8">
        <v>5720</v>
      </c>
      <c r="D63" s="5">
        <v>29656</v>
      </c>
      <c r="E63" s="1" t="s">
        <v>7</v>
      </c>
      <c r="F63" s="1" t="s">
        <v>11</v>
      </c>
      <c r="G63" s="1" t="s">
        <v>8</v>
      </c>
      <c r="H63" s="1" t="str">
        <f t="shared" si="0"/>
        <v>Reajustar</v>
      </c>
      <c r="L63"/>
      <c r="M63"/>
      <c r="N63"/>
    </row>
    <row r="64" spans="1:14" x14ac:dyDescent="0.25">
      <c r="A64" s="1" t="s">
        <v>76</v>
      </c>
      <c r="B64" s="1" t="s">
        <v>225</v>
      </c>
      <c r="C64" s="8">
        <v>5060</v>
      </c>
      <c r="D64" s="5">
        <v>29822</v>
      </c>
      <c r="E64" s="1" t="s">
        <v>3</v>
      </c>
      <c r="F64" s="1" t="s">
        <v>11</v>
      </c>
      <c r="G64" s="1" t="s">
        <v>8</v>
      </c>
      <c r="H64" s="1" t="str">
        <f t="shared" si="0"/>
        <v>Reajustar</v>
      </c>
      <c r="L64"/>
      <c r="M64"/>
      <c r="N64"/>
    </row>
    <row r="65" spans="1:14" x14ac:dyDescent="0.25">
      <c r="A65" s="1" t="s">
        <v>77</v>
      </c>
      <c r="B65" s="1" t="s">
        <v>223</v>
      </c>
      <c r="C65" s="8">
        <v>4400</v>
      </c>
      <c r="D65" s="5">
        <v>29850</v>
      </c>
      <c r="E65" s="1" t="s">
        <v>7</v>
      </c>
      <c r="F65" s="1" t="s">
        <v>11</v>
      </c>
      <c r="G65" s="1" t="s">
        <v>8</v>
      </c>
      <c r="H65" s="1" t="str">
        <f t="shared" si="0"/>
        <v>Reajustar</v>
      </c>
      <c r="L65"/>
      <c r="M65"/>
      <c r="N65"/>
    </row>
    <row r="66" spans="1:14" x14ac:dyDescent="0.25">
      <c r="A66" s="1" t="s">
        <v>78</v>
      </c>
      <c r="B66" s="1" t="s">
        <v>225</v>
      </c>
      <c r="C66" s="8">
        <v>4840</v>
      </c>
      <c r="D66" s="5">
        <v>29860</v>
      </c>
      <c r="E66" s="1" t="s">
        <v>7</v>
      </c>
      <c r="F66" s="1" t="s">
        <v>11</v>
      </c>
      <c r="G66" s="1" t="s">
        <v>8</v>
      </c>
      <c r="H66" s="1" t="str">
        <f t="shared" si="0"/>
        <v>Reajustar</v>
      </c>
      <c r="L66"/>
      <c r="M66"/>
      <c r="N66"/>
    </row>
    <row r="67" spans="1:14" x14ac:dyDescent="0.25">
      <c r="A67" s="1" t="s">
        <v>79</v>
      </c>
      <c r="B67" s="1" t="s">
        <v>223</v>
      </c>
      <c r="C67" s="8">
        <v>3520</v>
      </c>
      <c r="D67" s="5">
        <v>29901</v>
      </c>
      <c r="E67" s="1" t="s">
        <v>3</v>
      </c>
      <c r="F67" s="1" t="s">
        <v>11</v>
      </c>
      <c r="G67" s="1" t="s">
        <v>13</v>
      </c>
      <c r="H67" s="1" t="str">
        <f t="shared" ref="H67:H130" si="1">IF(C67&gt;12000,"No reajustar","Reajustar")</f>
        <v>Reajustar</v>
      </c>
      <c r="L67"/>
      <c r="M67"/>
      <c r="N67"/>
    </row>
    <row r="68" spans="1:14" x14ac:dyDescent="0.25">
      <c r="A68" s="1" t="s">
        <v>80</v>
      </c>
      <c r="B68" s="1" t="s">
        <v>223</v>
      </c>
      <c r="C68" s="8">
        <v>5280</v>
      </c>
      <c r="D68" s="5">
        <v>30032</v>
      </c>
      <c r="E68" s="1" t="s">
        <v>3</v>
      </c>
      <c r="F68" s="1" t="s">
        <v>11</v>
      </c>
      <c r="G68" s="1" t="s">
        <v>8</v>
      </c>
      <c r="H68" s="1" t="str">
        <f t="shared" si="1"/>
        <v>Reajustar</v>
      </c>
      <c r="L68"/>
      <c r="M68"/>
      <c r="N68"/>
    </row>
    <row r="69" spans="1:14" x14ac:dyDescent="0.25">
      <c r="A69" s="1" t="s">
        <v>81</v>
      </c>
      <c r="B69" s="1" t="s">
        <v>223</v>
      </c>
      <c r="C69" s="8">
        <v>3465</v>
      </c>
      <c r="D69" s="5">
        <v>30040</v>
      </c>
      <c r="E69" s="1" t="s">
        <v>3</v>
      </c>
      <c r="F69" s="1" t="s">
        <v>11</v>
      </c>
      <c r="G69" s="1" t="s">
        <v>8</v>
      </c>
      <c r="H69" s="1" t="str">
        <f t="shared" si="1"/>
        <v>Reajustar</v>
      </c>
      <c r="L69"/>
      <c r="M69"/>
      <c r="N69"/>
    </row>
    <row r="70" spans="1:14" x14ac:dyDescent="0.25">
      <c r="A70" s="1" t="s">
        <v>82</v>
      </c>
      <c r="B70" s="1" t="s">
        <v>223</v>
      </c>
      <c r="C70" s="8">
        <v>5060</v>
      </c>
      <c r="D70" s="5">
        <v>30092</v>
      </c>
      <c r="E70" s="1" t="s">
        <v>7</v>
      </c>
      <c r="F70" s="1" t="s">
        <v>11</v>
      </c>
      <c r="G70" s="1" t="s">
        <v>13</v>
      </c>
      <c r="H70" s="1" t="str">
        <f t="shared" si="1"/>
        <v>Reajustar</v>
      </c>
      <c r="L70"/>
      <c r="M70"/>
      <c r="N70"/>
    </row>
    <row r="71" spans="1:14" x14ac:dyDescent="0.25">
      <c r="A71" s="1" t="s">
        <v>83</v>
      </c>
      <c r="B71" s="1" t="s">
        <v>223</v>
      </c>
      <c r="C71" s="8">
        <v>4620</v>
      </c>
      <c r="D71" s="5">
        <v>30166</v>
      </c>
      <c r="E71" s="1" t="s">
        <v>3</v>
      </c>
      <c r="F71" s="1" t="s">
        <v>11</v>
      </c>
      <c r="G71" s="1" t="s">
        <v>8</v>
      </c>
      <c r="H71" s="1" t="str">
        <f t="shared" si="1"/>
        <v>Reajustar</v>
      </c>
      <c r="L71"/>
      <c r="M71"/>
      <c r="N71"/>
    </row>
    <row r="72" spans="1:14" x14ac:dyDescent="0.25">
      <c r="A72" s="1" t="s">
        <v>84</v>
      </c>
      <c r="B72" s="1" t="s">
        <v>223</v>
      </c>
      <c r="C72" s="8">
        <v>3300</v>
      </c>
      <c r="D72" s="5">
        <v>30171</v>
      </c>
      <c r="E72" s="1" t="s">
        <v>7</v>
      </c>
      <c r="F72" s="1" t="s">
        <v>11</v>
      </c>
      <c r="G72" s="1" t="s">
        <v>8</v>
      </c>
      <c r="H72" s="1" t="str">
        <f t="shared" si="1"/>
        <v>Reajustar</v>
      </c>
      <c r="L72"/>
      <c r="M72"/>
      <c r="N72"/>
    </row>
    <row r="73" spans="1:14" x14ac:dyDescent="0.25">
      <c r="A73" s="1" t="s">
        <v>85</v>
      </c>
      <c r="B73" s="1" t="s">
        <v>225</v>
      </c>
      <c r="C73" s="8">
        <v>5720</v>
      </c>
      <c r="D73" s="5">
        <v>30181</v>
      </c>
      <c r="E73" s="1" t="s">
        <v>3</v>
      </c>
      <c r="F73" s="1" t="s">
        <v>11</v>
      </c>
      <c r="G73" s="1" t="s">
        <v>8</v>
      </c>
      <c r="H73" s="1" t="str">
        <f t="shared" si="1"/>
        <v>Reajustar</v>
      </c>
      <c r="L73"/>
      <c r="M73"/>
      <c r="N73"/>
    </row>
    <row r="74" spans="1:14" x14ac:dyDescent="0.25">
      <c r="A74" s="1" t="s">
        <v>86</v>
      </c>
      <c r="B74" s="1" t="s">
        <v>223</v>
      </c>
      <c r="C74" s="8">
        <v>3080</v>
      </c>
      <c r="D74" s="5">
        <v>30234</v>
      </c>
      <c r="E74" s="1" t="s">
        <v>7</v>
      </c>
      <c r="F74" s="1" t="s">
        <v>11</v>
      </c>
      <c r="G74" s="1" t="s">
        <v>8</v>
      </c>
      <c r="H74" s="1" t="str">
        <f t="shared" si="1"/>
        <v>Reajustar</v>
      </c>
      <c r="L74"/>
      <c r="M74"/>
      <c r="N74"/>
    </row>
    <row r="75" spans="1:14" x14ac:dyDescent="0.25">
      <c r="A75" s="1" t="s">
        <v>87</v>
      </c>
      <c r="B75" s="1" t="s">
        <v>223</v>
      </c>
      <c r="C75" s="8">
        <v>4400</v>
      </c>
      <c r="D75" s="5">
        <v>30276</v>
      </c>
      <c r="E75" s="1" t="s">
        <v>3</v>
      </c>
      <c r="F75" s="1" t="s">
        <v>11</v>
      </c>
      <c r="G75" s="1" t="s">
        <v>8</v>
      </c>
      <c r="H75" s="1" t="str">
        <f t="shared" si="1"/>
        <v>Reajustar</v>
      </c>
      <c r="L75"/>
      <c r="M75"/>
      <c r="N75"/>
    </row>
    <row r="76" spans="1:14" hidden="1" x14ac:dyDescent="0.25">
      <c r="A76" s="1" t="s">
        <v>88</v>
      </c>
      <c r="B76" s="1" t="s">
        <v>220</v>
      </c>
      <c r="C76" s="8">
        <v>12144</v>
      </c>
      <c r="D76" s="5">
        <v>30351</v>
      </c>
      <c r="E76" s="1" t="s">
        <v>7</v>
      </c>
      <c r="F76" s="1" t="s">
        <v>4</v>
      </c>
      <c r="G76" s="1" t="s">
        <v>8</v>
      </c>
      <c r="H76" s="1" t="str">
        <f t="shared" si="1"/>
        <v>No reajustar</v>
      </c>
      <c r="L76"/>
      <c r="M76"/>
      <c r="N76"/>
    </row>
    <row r="77" spans="1:14" x14ac:dyDescent="0.25">
      <c r="A77" s="1" t="s">
        <v>89</v>
      </c>
      <c r="B77" s="1" t="s">
        <v>223</v>
      </c>
      <c r="C77" s="8">
        <v>4840</v>
      </c>
      <c r="D77" s="5">
        <v>30358</v>
      </c>
      <c r="E77" s="1" t="s">
        <v>3</v>
      </c>
      <c r="F77" s="1" t="s">
        <v>11</v>
      </c>
      <c r="G77" s="1" t="s">
        <v>9</v>
      </c>
      <c r="H77" s="1" t="str">
        <f t="shared" si="1"/>
        <v>Reajustar</v>
      </c>
      <c r="L77"/>
      <c r="M77"/>
      <c r="N77"/>
    </row>
    <row r="78" spans="1:14" hidden="1" x14ac:dyDescent="0.25">
      <c r="A78" s="1" t="s">
        <v>90</v>
      </c>
      <c r="B78" s="1" t="s">
        <v>230</v>
      </c>
      <c r="C78" s="8">
        <v>12100</v>
      </c>
      <c r="D78" s="5">
        <v>30402</v>
      </c>
      <c r="E78" s="1" t="s">
        <v>3</v>
      </c>
      <c r="F78" s="1" t="s">
        <v>11</v>
      </c>
      <c r="G78" s="1" t="s">
        <v>8</v>
      </c>
      <c r="H78" s="1" t="str">
        <f t="shared" si="1"/>
        <v>No reajustar</v>
      </c>
      <c r="L78"/>
      <c r="M78"/>
      <c r="N78"/>
    </row>
    <row r="79" spans="1:14" x14ac:dyDescent="0.25">
      <c r="A79" s="1" t="s">
        <v>91</v>
      </c>
      <c r="B79" s="1" t="s">
        <v>223</v>
      </c>
      <c r="C79" s="8">
        <v>3300</v>
      </c>
      <c r="D79" s="5">
        <v>30446</v>
      </c>
      <c r="E79" s="1" t="s">
        <v>3</v>
      </c>
      <c r="F79" s="1" t="s">
        <v>11</v>
      </c>
      <c r="G79" s="1" t="s">
        <v>8</v>
      </c>
      <c r="H79" s="1" t="str">
        <f t="shared" si="1"/>
        <v>Reajustar</v>
      </c>
      <c r="L79"/>
      <c r="M79"/>
      <c r="N79"/>
    </row>
    <row r="80" spans="1:14" x14ac:dyDescent="0.25">
      <c r="A80" s="1" t="s">
        <v>92</v>
      </c>
      <c r="B80" s="1" t="s">
        <v>223</v>
      </c>
      <c r="C80" s="8">
        <v>3300</v>
      </c>
      <c r="D80" s="5">
        <v>30544</v>
      </c>
      <c r="E80" s="1" t="s">
        <v>7</v>
      </c>
      <c r="F80" s="1" t="s">
        <v>11</v>
      </c>
      <c r="G80" s="1" t="s">
        <v>8</v>
      </c>
      <c r="H80" s="1" t="str">
        <f t="shared" si="1"/>
        <v>Reajustar</v>
      </c>
      <c r="L80"/>
      <c r="M80"/>
      <c r="N80"/>
    </row>
    <row r="81" spans="1:14" x14ac:dyDescent="0.25">
      <c r="A81" s="1" t="s">
        <v>93</v>
      </c>
      <c r="B81" s="1" t="s">
        <v>223</v>
      </c>
      <c r="C81" s="8">
        <v>4620</v>
      </c>
      <c r="D81" s="5">
        <v>30552</v>
      </c>
      <c r="E81" s="1" t="s">
        <v>3</v>
      </c>
      <c r="F81" s="1" t="s">
        <v>11</v>
      </c>
      <c r="G81" s="1" t="s">
        <v>8</v>
      </c>
      <c r="H81" s="1" t="str">
        <f t="shared" si="1"/>
        <v>Reajustar</v>
      </c>
      <c r="L81"/>
      <c r="M81"/>
      <c r="N81"/>
    </row>
    <row r="82" spans="1:14" x14ac:dyDescent="0.25">
      <c r="A82" s="1" t="s">
        <v>94</v>
      </c>
      <c r="B82" s="1" t="s">
        <v>225</v>
      </c>
      <c r="C82" s="8">
        <v>5940</v>
      </c>
      <c r="D82" s="5">
        <v>30580</v>
      </c>
      <c r="E82" s="1" t="s">
        <v>3</v>
      </c>
      <c r="F82" s="1" t="s">
        <v>11</v>
      </c>
      <c r="G82" s="1" t="s">
        <v>8</v>
      </c>
      <c r="H82" s="1" t="str">
        <f t="shared" si="1"/>
        <v>Reajustar</v>
      </c>
      <c r="L82"/>
      <c r="M82"/>
      <c r="N82"/>
    </row>
    <row r="83" spans="1:14" x14ac:dyDescent="0.25">
      <c r="A83" s="1" t="s">
        <v>95</v>
      </c>
      <c r="B83" s="1" t="s">
        <v>233</v>
      </c>
      <c r="C83" s="8">
        <v>6908</v>
      </c>
      <c r="D83" s="5">
        <v>30735</v>
      </c>
      <c r="E83" s="1" t="s">
        <v>7</v>
      </c>
      <c r="F83" s="1" t="s">
        <v>4</v>
      </c>
      <c r="G83" s="1" t="s">
        <v>8</v>
      </c>
      <c r="H83" s="1" t="str">
        <f t="shared" si="1"/>
        <v>Reajustar</v>
      </c>
      <c r="L83"/>
      <c r="M83"/>
      <c r="N83"/>
    </row>
    <row r="84" spans="1:14" x14ac:dyDescent="0.25">
      <c r="A84" s="1" t="s">
        <v>96</v>
      </c>
      <c r="B84" s="1" t="s">
        <v>225</v>
      </c>
      <c r="C84" s="8">
        <v>4840</v>
      </c>
      <c r="D84" s="5">
        <v>30758</v>
      </c>
      <c r="E84" s="1" t="s">
        <v>3</v>
      </c>
      <c r="F84" s="1" t="s">
        <v>11</v>
      </c>
      <c r="G84" s="1" t="s">
        <v>8</v>
      </c>
      <c r="H84" s="1" t="str">
        <f t="shared" si="1"/>
        <v>Reajustar</v>
      </c>
      <c r="L84"/>
      <c r="M84"/>
      <c r="N84"/>
    </row>
    <row r="85" spans="1:14" x14ac:dyDescent="0.25">
      <c r="A85" s="1" t="s">
        <v>97</v>
      </c>
      <c r="B85" s="1" t="s">
        <v>231</v>
      </c>
      <c r="C85" s="8">
        <v>5940</v>
      </c>
      <c r="D85" s="5">
        <v>30774</v>
      </c>
      <c r="E85" s="1" t="s">
        <v>3</v>
      </c>
      <c r="F85" s="1" t="s">
        <v>4</v>
      </c>
      <c r="G85" s="1" t="s">
        <v>8</v>
      </c>
      <c r="H85" s="1" t="str">
        <f t="shared" si="1"/>
        <v>Reajustar</v>
      </c>
      <c r="L85"/>
      <c r="M85"/>
      <c r="N85"/>
    </row>
    <row r="86" spans="1:14" x14ac:dyDescent="0.25">
      <c r="A86" s="1" t="s">
        <v>98</v>
      </c>
      <c r="B86" s="1" t="s">
        <v>237</v>
      </c>
      <c r="C86" s="8">
        <v>7689</v>
      </c>
      <c r="D86" s="5">
        <v>30786</v>
      </c>
      <c r="E86" s="1" t="s">
        <v>3</v>
      </c>
      <c r="F86" s="1" t="s">
        <v>10</v>
      </c>
      <c r="G86" s="1" t="s">
        <v>8</v>
      </c>
      <c r="H86" s="1" t="str">
        <f t="shared" si="1"/>
        <v>Reajustar</v>
      </c>
      <c r="L86"/>
      <c r="M86"/>
      <c r="N86"/>
    </row>
    <row r="87" spans="1:14" hidden="1" x14ac:dyDescent="0.25">
      <c r="A87" s="1" t="s">
        <v>99</v>
      </c>
      <c r="B87" s="1" t="s">
        <v>231</v>
      </c>
      <c r="C87" s="8">
        <v>12566</v>
      </c>
      <c r="D87" s="5">
        <v>30807</v>
      </c>
      <c r="E87" s="1" t="s">
        <v>7</v>
      </c>
      <c r="F87" s="1" t="s">
        <v>4</v>
      </c>
      <c r="G87" s="1" t="s">
        <v>8</v>
      </c>
      <c r="H87" s="1" t="str">
        <f t="shared" si="1"/>
        <v>No reajustar</v>
      </c>
      <c r="L87"/>
      <c r="M87"/>
      <c r="N87"/>
    </row>
    <row r="88" spans="1:14" x14ac:dyDescent="0.25">
      <c r="A88" s="1" t="s">
        <v>100</v>
      </c>
      <c r="B88" s="1" t="s">
        <v>223</v>
      </c>
      <c r="C88" s="8">
        <v>3300</v>
      </c>
      <c r="D88" s="5">
        <v>30821</v>
      </c>
      <c r="E88" s="1" t="s">
        <v>3</v>
      </c>
      <c r="F88" s="1" t="s">
        <v>11</v>
      </c>
      <c r="G88" s="1" t="s">
        <v>8</v>
      </c>
      <c r="H88" s="1" t="str">
        <f t="shared" si="1"/>
        <v>Reajustar</v>
      </c>
      <c r="L88"/>
      <c r="M88"/>
      <c r="N88"/>
    </row>
    <row r="89" spans="1:14" x14ac:dyDescent="0.25">
      <c r="A89" s="1" t="s">
        <v>101</v>
      </c>
      <c r="B89" s="1" t="s">
        <v>231</v>
      </c>
      <c r="C89" s="8">
        <v>10472</v>
      </c>
      <c r="D89" s="5">
        <v>30824</v>
      </c>
      <c r="E89" s="1" t="s">
        <v>7</v>
      </c>
      <c r="F89" s="1" t="s">
        <v>4</v>
      </c>
      <c r="G89" s="1" t="s">
        <v>8</v>
      </c>
      <c r="H89" s="1" t="str">
        <f t="shared" si="1"/>
        <v>Reajustar</v>
      </c>
      <c r="L89"/>
      <c r="M89"/>
      <c r="N89"/>
    </row>
    <row r="90" spans="1:14" x14ac:dyDescent="0.25">
      <c r="A90" s="1" t="s">
        <v>102</v>
      </c>
      <c r="B90" s="1" t="s">
        <v>223</v>
      </c>
      <c r="C90" s="8">
        <v>3740</v>
      </c>
      <c r="D90" s="5">
        <v>30835</v>
      </c>
      <c r="E90" s="1" t="s">
        <v>7</v>
      </c>
      <c r="F90" s="1" t="s">
        <v>11</v>
      </c>
      <c r="G90" s="1" t="s">
        <v>8</v>
      </c>
      <c r="H90" s="1" t="str">
        <f t="shared" si="1"/>
        <v>Reajustar</v>
      </c>
      <c r="L90"/>
      <c r="M90"/>
      <c r="N90"/>
    </row>
    <row r="91" spans="1:14" hidden="1" x14ac:dyDescent="0.25">
      <c r="A91" s="1" t="s">
        <v>103</v>
      </c>
      <c r="B91" s="1" t="s">
        <v>238</v>
      </c>
      <c r="C91" s="8">
        <v>14300</v>
      </c>
      <c r="D91" s="5">
        <v>30922</v>
      </c>
      <c r="E91" s="1" t="s">
        <v>7</v>
      </c>
      <c r="F91" s="1" t="s">
        <v>4</v>
      </c>
      <c r="G91" s="1" t="s">
        <v>13</v>
      </c>
      <c r="H91" s="1" t="str">
        <f t="shared" si="1"/>
        <v>No reajustar</v>
      </c>
      <c r="L91"/>
      <c r="M91"/>
      <c r="N91"/>
    </row>
    <row r="92" spans="1:14" x14ac:dyDescent="0.25">
      <c r="A92" s="1" t="s">
        <v>104</v>
      </c>
      <c r="B92" s="1" t="s">
        <v>225</v>
      </c>
      <c r="C92" s="8">
        <v>5500</v>
      </c>
      <c r="D92" s="5">
        <v>30937</v>
      </c>
      <c r="E92" s="1" t="s">
        <v>7</v>
      </c>
      <c r="F92" s="1" t="s">
        <v>11</v>
      </c>
      <c r="G92" s="1" t="s">
        <v>8</v>
      </c>
      <c r="H92" s="1" t="str">
        <f t="shared" si="1"/>
        <v>Reajustar</v>
      </c>
      <c r="L92"/>
      <c r="M92"/>
      <c r="N92"/>
    </row>
    <row r="93" spans="1:14" x14ac:dyDescent="0.25">
      <c r="A93" s="1" t="s">
        <v>105</v>
      </c>
      <c r="B93" s="1" t="s">
        <v>225</v>
      </c>
      <c r="C93" s="8">
        <v>5720</v>
      </c>
      <c r="D93" s="5">
        <v>30956</v>
      </c>
      <c r="E93" s="1" t="s">
        <v>3</v>
      </c>
      <c r="F93" s="1" t="s">
        <v>11</v>
      </c>
      <c r="G93" s="1" t="s">
        <v>8</v>
      </c>
      <c r="H93" s="1" t="str">
        <f t="shared" si="1"/>
        <v>Reajustar</v>
      </c>
      <c r="L93"/>
      <c r="M93"/>
      <c r="N93"/>
    </row>
    <row r="94" spans="1:14" x14ac:dyDescent="0.25">
      <c r="A94" s="1" t="s">
        <v>106</v>
      </c>
      <c r="B94" s="1" t="s">
        <v>223</v>
      </c>
      <c r="C94" s="8">
        <v>4840</v>
      </c>
      <c r="D94" s="5">
        <v>31008</v>
      </c>
      <c r="E94" s="1" t="s">
        <v>7</v>
      </c>
      <c r="F94" s="1" t="s">
        <v>11</v>
      </c>
      <c r="G94" s="1" t="s">
        <v>9</v>
      </c>
      <c r="H94" s="1" t="str">
        <f t="shared" si="1"/>
        <v>Reajustar</v>
      </c>
      <c r="L94"/>
      <c r="M94"/>
      <c r="N94"/>
    </row>
    <row r="95" spans="1:14" x14ac:dyDescent="0.25">
      <c r="A95" s="1" t="s">
        <v>107</v>
      </c>
      <c r="B95" s="1" t="s">
        <v>224</v>
      </c>
      <c r="C95" s="8">
        <v>8000</v>
      </c>
      <c r="D95" s="5">
        <v>31011</v>
      </c>
      <c r="E95" s="1" t="s">
        <v>7</v>
      </c>
      <c r="F95" s="1" t="s">
        <v>5</v>
      </c>
      <c r="G95" s="1" t="s">
        <v>8</v>
      </c>
      <c r="H95" s="1" t="str">
        <f t="shared" si="1"/>
        <v>Reajustar</v>
      </c>
      <c r="L95"/>
      <c r="M95"/>
      <c r="N95"/>
    </row>
    <row r="96" spans="1:14" x14ac:dyDescent="0.25">
      <c r="A96" s="1" t="s">
        <v>108</v>
      </c>
      <c r="B96" s="1" t="s">
        <v>223</v>
      </c>
      <c r="C96" s="8">
        <v>4290</v>
      </c>
      <c r="D96" s="5">
        <v>31016</v>
      </c>
      <c r="E96" s="1" t="s">
        <v>7</v>
      </c>
      <c r="F96" s="1" t="s">
        <v>11</v>
      </c>
      <c r="G96" s="1" t="s">
        <v>8</v>
      </c>
      <c r="H96" s="1" t="str">
        <f t="shared" si="1"/>
        <v>Reajustar</v>
      </c>
      <c r="L96"/>
      <c r="M96"/>
      <c r="N96"/>
    </row>
    <row r="97" spans="1:14" x14ac:dyDescent="0.25">
      <c r="A97" s="1" t="s">
        <v>109</v>
      </c>
      <c r="B97" s="1" t="s">
        <v>223</v>
      </c>
      <c r="C97" s="8">
        <v>4620</v>
      </c>
      <c r="D97" s="5">
        <v>31078</v>
      </c>
      <c r="E97" s="1" t="s">
        <v>3</v>
      </c>
      <c r="F97" s="1" t="s">
        <v>11</v>
      </c>
      <c r="G97" s="1" t="s">
        <v>8</v>
      </c>
      <c r="H97" s="1" t="str">
        <f t="shared" si="1"/>
        <v>Reajustar</v>
      </c>
      <c r="L97"/>
      <c r="M97"/>
      <c r="N97"/>
    </row>
    <row r="98" spans="1:14" x14ac:dyDescent="0.25">
      <c r="A98" s="1" t="s">
        <v>110</v>
      </c>
      <c r="B98" s="1" t="s">
        <v>225</v>
      </c>
      <c r="C98" s="8">
        <v>5500</v>
      </c>
      <c r="D98" s="5">
        <v>31079</v>
      </c>
      <c r="E98" s="1" t="s">
        <v>7</v>
      </c>
      <c r="F98" s="1" t="s">
        <v>11</v>
      </c>
      <c r="G98" s="1" t="s">
        <v>8</v>
      </c>
      <c r="H98" s="1" t="str">
        <f t="shared" si="1"/>
        <v>Reajustar</v>
      </c>
      <c r="L98"/>
      <c r="M98"/>
      <c r="N98"/>
    </row>
    <row r="99" spans="1:14" x14ac:dyDescent="0.25">
      <c r="A99" s="1" t="s">
        <v>111</v>
      </c>
      <c r="B99" s="1" t="s">
        <v>223</v>
      </c>
      <c r="C99" s="8">
        <v>3960</v>
      </c>
      <c r="D99" s="5">
        <v>31154</v>
      </c>
      <c r="E99" s="1" t="s">
        <v>7</v>
      </c>
      <c r="F99" s="1" t="s">
        <v>11</v>
      </c>
      <c r="G99" s="1" t="s">
        <v>8</v>
      </c>
      <c r="H99" s="1" t="str">
        <f t="shared" si="1"/>
        <v>Reajustar</v>
      </c>
      <c r="L99"/>
      <c r="M99"/>
      <c r="N99"/>
    </row>
    <row r="100" spans="1:14" hidden="1" x14ac:dyDescent="0.25">
      <c r="A100" s="1" t="s">
        <v>112</v>
      </c>
      <c r="B100" s="1" t="s">
        <v>239</v>
      </c>
      <c r="C100" s="8">
        <v>14300</v>
      </c>
      <c r="D100" s="5">
        <v>31173</v>
      </c>
      <c r="E100" s="1" t="s">
        <v>7</v>
      </c>
      <c r="F100" s="1" t="s">
        <v>4</v>
      </c>
      <c r="G100" s="1" t="s">
        <v>13</v>
      </c>
      <c r="H100" s="1" t="str">
        <f t="shared" si="1"/>
        <v>No reajustar</v>
      </c>
      <c r="L100"/>
      <c r="M100"/>
      <c r="N100"/>
    </row>
    <row r="101" spans="1:14" x14ac:dyDescent="0.25">
      <c r="A101" s="1" t="s">
        <v>113</v>
      </c>
      <c r="B101" s="1" t="s">
        <v>223</v>
      </c>
      <c r="C101" s="8">
        <v>3520</v>
      </c>
      <c r="D101" s="5">
        <v>31263</v>
      </c>
      <c r="E101" s="1" t="s">
        <v>7</v>
      </c>
      <c r="F101" s="1" t="s">
        <v>11</v>
      </c>
      <c r="G101" s="1" t="s">
        <v>13</v>
      </c>
      <c r="H101" s="1" t="str">
        <f t="shared" si="1"/>
        <v>Reajustar</v>
      </c>
      <c r="L101"/>
      <c r="M101"/>
      <c r="N101"/>
    </row>
    <row r="102" spans="1:14" x14ac:dyDescent="0.25">
      <c r="A102" s="1" t="s">
        <v>114</v>
      </c>
      <c r="B102" s="1" t="s">
        <v>223</v>
      </c>
      <c r="C102" s="8">
        <v>5445</v>
      </c>
      <c r="D102" s="5">
        <v>31284</v>
      </c>
      <c r="E102" s="1" t="s">
        <v>3</v>
      </c>
      <c r="F102" s="1" t="s">
        <v>11</v>
      </c>
      <c r="G102" s="1" t="s">
        <v>13</v>
      </c>
      <c r="H102" s="1" t="str">
        <f t="shared" si="1"/>
        <v>Reajustar</v>
      </c>
      <c r="L102"/>
      <c r="M102"/>
      <c r="N102"/>
    </row>
    <row r="103" spans="1:14" x14ac:dyDescent="0.25">
      <c r="A103" s="1" t="s">
        <v>115</v>
      </c>
      <c r="B103" s="1" t="s">
        <v>240</v>
      </c>
      <c r="C103" s="8">
        <v>7500</v>
      </c>
      <c r="D103" s="5">
        <v>31385</v>
      </c>
      <c r="E103" s="1" t="s">
        <v>3</v>
      </c>
      <c r="F103" s="1" t="s">
        <v>4</v>
      </c>
      <c r="G103" s="1" t="s">
        <v>8</v>
      </c>
      <c r="H103" s="1" t="str">
        <f t="shared" si="1"/>
        <v>Reajustar</v>
      </c>
      <c r="L103"/>
      <c r="M103"/>
      <c r="N103"/>
    </row>
    <row r="104" spans="1:14" x14ac:dyDescent="0.25">
      <c r="A104" s="1" t="s">
        <v>116</v>
      </c>
      <c r="B104" s="1" t="s">
        <v>223</v>
      </c>
      <c r="C104" s="8">
        <v>5280</v>
      </c>
      <c r="D104" s="5">
        <v>31486</v>
      </c>
      <c r="E104" s="1" t="s">
        <v>3</v>
      </c>
      <c r="F104" s="1" t="s">
        <v>11</v>
      </c>
      <c r="G104" s="1" t="s">
        <v>8</v>
      </c>
      <c r="H104" s="1" t="str">
        <f t="shared" si="1"/>
        <v>Reajustar</v>
      </c>
      <c r="L104"/>
      <c r="M104"/>
      <c r="N104"/>
    </row>
    <row r="105" spans="1:14" x14ac:dyDescent="0.25">
      <c r="A105" s="1" t="s">
        <v>117</v>
      </c>
      <c r="B105" s="1" t="s">
        <v>231</v>
      </c>
      <c r="C105" s="8">
        <v>10340</v>
      </c>
      <c r="D105" s="5">
        <v>31515</v>
      </c>
      <c r="E105" s="1" t="s">
        <v>3</v>
      </c>
      <c r="F105" s="1" t="s">
        <v>4</v>
      </c>
      <c r="G105" s="1" t="s">
        <v>8</v>
      </c>
      <c r="H105" s="1" t="str">
        <f t="shared" si="1"/>
        <v>Reajustar</v>
      </c>
      <c r="L105"/>
      <c r="M105"/>
      <c r="N105"/>
    </row>
    <row r="106" spans="1:14" x14ac:dyDescent="0.25">
      <c r="A106" s="1" t="s">
        <v>118</v>
      </c>
      <c r="B106" s="1" t="s">
        <v>229</v>
      </c>
      <c r="C106" s="8">
        <v>8580</v>
      </c>
      <c r="D106" s="5">
        <v>31517</v>
      </c>
      <c r="E106" s="1" t="s">
        <v>7</v>
      </c>
      <c r="F106" s="1" t="s">
        <v>4</v>
      </c>
      <c r="G106" s="1" t="s">
        <v>8</v>
      </c>
      <c r="H106" s="1" t="str">
        <f t="shared" si="1"/>
        <v>Reajustar</v>
      </c>
      <c r="L106"/>
      <c r="M106"/>
      <c r="N106"/>
    </row>
    <row r="107" spans="1:14" x14ac:dyDescent="0.25">
      <c r="A107" s="1" t="s">
        <v>119</v>
      </c>
      <c r="B107" s="1" t="s">
        <v>232</v>
      </c>
      <c r="C107" s="8">
        <v>10500</v>
      </c>
      <c r="D107" s="5">
        <v>31630</v>
      </c>
      <c r="E107" s="1" t="s">
        <v>7</v>
      </c>
      <c r="F107" s="1" t="s">
        <v>4</v>
      </c>
      <c r="G107" s="1" t="s">
        <v>8</v>
      </c>
      <c r="H107" s="1" t="str">
        <f t="shared" si="1"/>
        <v>Reajustar</v>
      </c>
      <c r="L107"/>
      <c r="M107"/>
      <c r="N107"/>
    </row>
    <row r="108" spans="1:14" x14ac:dyDescent="0.25">
      <c r="A108" s="1" t="s">
        <v>120</v>
      </c>
      <c r="B108" s="1" t="s">
        <v>230</v>
      </c>
      <c r="C108" s="8">
        <v>11660</v>
      </c>
      <c r="D108" s="5">
        <v>31692</v>
      </c>
      <c r="E108" s="1" t="s">
        <v>7</v>
      </c>
      <c r="F108" s="1" t="s">
        <v>11</v>
      </c>
      <c r="G108" s="1" t="s">
        <v>8</v>
      </c>
      <c r="H108" s="1" t="str">
        <f t="shared" si="1"/>
        <v>Reajustar</v>
      </c>
      <c r="L108"/>
      <c r="M108"/>
      <c r="N108"/>
    </row>
    <row r="109" spans="1:14" hidden="1" x14ac:dyDescent="0.25">
      <c r="A109" s="1" t="s">
        <v>121</v>
      </c>
      <c r="B109" s="1" t="s">
        <v>230</v>
      </c>
      <c r="C109" s="8">
        <v>12100</v>
      </c>
      <c r="D109" s="5">
        <v>31710</v>
      </c>
      <c r="E109" s="1" t="s">
        <v>3</v>
      </c>
      <c r="F109" s="1" t="s">
        <v>11</v>
      </c>
      <c r="G109" s="1" t="s">
        <v>13</v>
      </c>
      <c r="H109" s="1" t="str">
        <f t="shared" si="1"/>
        <v>No reajustar</v>
      </c>
      <c r="L109"/>
      <c r="M109"/>
      <c r="N109"/>
    </row>
    <row r="110" spans="1:14" x14ac:dyDescent="0.25">
      <c r="A110" s="1" t="s">
        <v>122</v>
      </c>
      <c r="B110" s="1" t="s">
        <v>230</v>
      </c>
      <c r="C110" s="8">
        <v>11880</v>
      </c>
      <c r="D110" s="5">
        <v>31722</v>
      </c>
      <c r="E110" s="1" t="s">
        <v>7</v>
      </c>
      <c r="F110" s="1" t="s">
        <v>11</v>
      </c>
      <c r="G110" s="1" t="s">
        <v>8</v>
      </c>
      <c r="H110" s="1" t="str">
        <f t="shared" si="1"/>
        <v>Reajustar</v>
      </c>
      <c r="L110"/>
      <c r="M110"/>
      <c r="N110"/>
    </row>
    <row r="111" spans="1:14" x14ac:dyDescent="0.25">
      <c r="A111" s="1" t="s">
        <v>123</v>
      </c>
      <c r="B111" s="1" t="s">
        <v>241</v>
      </c>
      <c r="C111" s="8">
        <v>8701</v>
      </c>
      <c r="D111" s="5">
        <v>31725</v>
      </c>
      <c r="E111" s="1" t="s">
        <v>3</v>
      </c>
      <c r="F111" s="1" t="s">
        <v>4</v>
      </c>
      <c r="G111" s="1" t="s">
        <v>8</v>
      </c>
      <c r="H111" s="1" t="str">
        <f t="shared" si="1"/>
        <v>Reajustar</v>
      </c>
      <c r="L111"/>
      <c r="M111"/>
      <c r="N111"/>
    </row>
    <row r="112" spans="1:14" x14ac:dyDescent="0.25">
      <c r="A112" s="1" t="s">
        <v>124</v>
      </c>
      <c r="B112" s="1" t="s">
        <v>223</v>
      </c>
      <c r="C112" s="8">
        <v>3740</v>
      </c>
      <c r="D112" s="5">
        <v>31738</v>
      </c>
      <c r="E112" s="1" t="s">
        <v>7</v>
      </c>
      <c r="F112" s="1" t="s">
        <v>11</v>
      </c>
      <c r="G112" s="1" t="s">
        <v>8</v>
      </c>
      <c r="H112" s="1" t="str">
        <f t="shared" si="1"/>
        <v>Reajustar</v>
      </c>
      <c r="L112"/>
      <c r="M112"/>
      <c r="N112"/>
    </row>
    <row r="113" spans="1:14" x14ac:dyDescent="0.25">
      <c r="A113" s="1" t="s">
        <v>125</v>
      </c>
      <c r="B113" s="1" t="s">
        <v>223</v>
      </c>
      <c r="C113" s="8">
        <v>4620</v>
      </c>
      <c r="D113" s="5">
        <v>31816</v>
      </c>
      <c r="E113" s="1" t="s">
        <v>3</v>
      </c>
      <c r="F113" s="1" t="s">
        <v>11</v>
      </c>
      <c r="G113" s="1" t="s">
        <v>8</v>
      </c>
      <c r="H113" s="1" t="str">
        <f t="shared" si="1"/>
        <v>Reajustar</v>
      </c>
      <c r="L113"/>
      <c r="M113"/>
      <c r="N113"/>
    </row>
    <row r="114" spans="1:14" x14ac:dyDescent="0.25">
      <c r="A114" s="1" t="s">
        <v>126</v>
      </c>
      <c r="B114" s="1" t="s">
        <v>225</v>
      </c>
      <c r="C114" s="8">
        <v>5742</v>
      </c>
      <c r="D114" s="5">
        <v>31863</v>
      </c>
      <c r="E114" s="1" t="s">
        <v>7</v>
      </c>
      <c r="F114" s="1" t="s">
        <v>11</v>
      </c>
      <c r="G114" s="1" t="s">
        <v>13</v>
      </c>
      <c r="H114" s="1" t="str">
        <f t="shared" si="1"/>
        <v>Reajustar</v>
      </c>
      <c r="L114"/>
      <c r="M114"/>
      <c r="N114"/>
    </row>
    <row r="115" spans="1:14" x14ac:dyDescent="0.25">
      <c r="A115" s="1" t="s">
        <v>127</v>
      </c>
      <c r="B115" s="1" t="s">
        <v>222</v>
      </c>
      <c r="C115" s="8">
        <v>5400</v>
      </c>
      <c r="D115" s="5">
        <v>31915</v>
      </c>
      <c r="E115" s="1" t="s">
        <v>7</v>
      </c>
      <c r="F115" s="1" t="s">
        <v>5</v>
      </c>
      <c r="G115" s="1" t="s">
        <v>8</v>
      </c>
      <c r="H115" s="1" t="str">
        <f t="shared" si="1"/>
        <v>Reajustar</v>
      </c>
      <c r="L115"/>
      <c r="M115"/>
      <c r="N115"/>
    </row>
    <row r="116" spans="1:14" x14ac:dyDescent="0.25">
      <c r="A116" s="1" t="s">
        <v>128</v>
      </c>
      <c r="B116" s="1" t="s">
        <v>223</v>
      </c>
      <c r="C116" s="8">
        <v>4180</v>
      </c>
      <c r="D116" s="5">
        <v>31967</v>
      </c>
      <c r="E116" s="1" t="s">
        <v>3</v>
      </c>
      <c r="F116" s="1" t="s">
        <v>11</v>
      </c>
      <c r="G116" s="1" t="s">
        <v>8</v>
      </c>
      <c r="H116" s="1" t="str">
        <f t="shared" si="1"/>
        <v>Reajustar</v>
      </c>
      <c r="L116"/>
      <c r="M116"/>
      <c r="N116"/>
    </row>
    <row r="117" spans="1:14" x14ac:dyDescent="0.25">
      <c r="A117" s="1" t="s">
        <v>129</v>
      </c>
      <c r="B117" s="1" t="s">
        <v>223</v>
      </c>
      <c r="C117" s="8">
        <v>3080</v>
      </c>
      <c r="D117" s="5">
        <v>32013</v>
      </c>
      <c r="E117" s="1" t="s">
        <v>7</v>
      </c>
      <c r="F117" s="1" t="s">
        <v>11</v>
      </c>
      <c r="G117" s="1" t="s">
        <v>8</v>
      </c>
      <c r="H117" s="1" t="str">
        <f t="shared" si="1"/>
        <v>Reajustar</v>
      </c>
      <c r="L117"/>
      <c r="M117"/>
      <c r="N117"/>
    </row>
    <row r="118" spans="1:14" x14ac:dyDescent="0.25">
      <c r="A118" s="1" t="s">
        <v>130</v>
      </c>
      <c r="B118" s="1" t="s">
        <v>223</v>
      </c>
      <c r="C118" s="8">
        <v>4620</v>
      </c>
      <c r="D118" s="5">
        <v>32095</v>
      </c>
      <c r="E118" s="1" t="s">
        <v>7</v>
      </c>
      <c r="F118" s="1" t="s">
        <v>11</v>
      </c>
      <c r="G118" s="1" t="s">
        <v>8</v>
      </c>
      <c r="H118" s="1" t="str">
        <f t="shared" si="1"/>
        <v>Reajustar</v>
      </c>
      <c r="L118"/>
      <c r="M118"/>
      <c r="N118"/>
    </row>
    <row r="119" spans="1:14" x14ac:dyDescent="0.25">
      <c r="A119" s="1" t="s">
        <v>131</v>
      </c>
      <c r="B119" s="1" t="s">
        <v>223</v>
      </c>
      <c r="C119" s="8">
        <v>4400</v>
      </c>
      <c r="D119" s="5">
        <v>32174</v>
      </c>
      <c r="E119" s="1" t="s">
        <v>7</v>
      </c>
      <c r="F119" s="1" t="s">
        <v>11</v>
      </c>
      <c r="G119" s="1" t="s">
        <v>8</v>
      </c>
      <c r="H119" s="1" t="str">
        <f t="shared" si="1"/>
        <v>Reajustar</v>
      </c>
      <c r="L119"/>
      <c r="M119"/>
      <c r="N119"/>
    </row>
    <row r="120" spans="1:14" x14ac:dyDescent="0.25">
      <c r="A120" s="1" t="s">
        <v>132</v>
      </c>
      <c r="B120" s="1" t="s">
        <v>223</v>
      </c>
      <c r="C120" s="8">
        <v>5280</v>
      </c>
      <c r="D120" s="5">
        <v>32184</v>
      </c>
      <c r="E120" s="1" t="s">
        <v>7</v>
      </c>
      <c r="F120" s="1" t="s">
        <v>11</v>
      </c>
      <c r="G120" s="1" t="s">
        <v>8</v>
      </c>
      <c r="H120" s="1" t="str">
        <f t="shared" si="1"/>
        <v>Reajustar</v>
      </c>
      <c r="L120"/>
      <c r="M120"/>
      <c r="N120"/>
    </row>
    <row r="121" spans="1:14" x14ac:dyDescent="0.25">
      <c r="A121" s="1" t="s">
        <v>133</v>
      </c>
      <c r="B121" s="1" t="s">
        <v>223</v>
      </c>
      <c r="C121" s="8">
        <v>4840</v>
      </c>
      <c r="D121" s="5">
        <v>32190</v>
      </c>
      <c r="E121" s="1" t="s">
        <v>7</v>
      </c>
      <c r="F121" s="1" t="s">
        <v>11</v>
      </c>
      <c r="G121" s="1" t="s">
        <v>8</v>
      </c>
      <c r="H121" s="1" t="str">
        <f t="shared" si="1"/>
        <v>Reajustar</v>
      </c>
      <c r="L121"/>
      <c r="M121"/>
      <c r="N121"/>
    </row>
    <row r="122" spans="1:14" hidden="1" x14ac:dyDescent="0.25">
      <c r="A122" s="1" t="s">
        <v>134</v>
      </c>
      <c r="B122" s="1" t="s">
        <v>242</v>
      </c>
      <c r="C122" s="8">
        <v>13200</v>
      </c>
      <c r="D122" s="5">
        <v>32219</v>
      </c>
      <c r="E122" s="1" t="s">
        <v>7</v>
      </c>
      <c r="F122" s="1" t="s">
        <v>11</v>
      </c>
      <c r="G122" s="1" t="s">
        <v>13</v>
      </c>
      <c r="H122" s="1" t="str">
        <f t="shared" si="1"/>
        <v>No reajustar</v>
      </c>
      <c r="L122"/>
      <c r="M122"/>
      <c r="N122"/>
    </row>
    <row r="123" spans="1:14" x14ac:dyDescent="0.25">
      <c r="A123" s="1" t="s">
        <v>135</v>
      </c>
      <c r="B123" s="1" t="s">
        <v>240</v>
      </c>
      <c r="C123" s="8">
        <v>8000</v>
      </c>
      <c r="D123" s="5">
        <v>32240</v>
      </c>
      <c r="E123" s="1" t="s">
        <v>7</v>
      </c>
      <c r="F123" s="1" t="s">
        <v>4</v>
      </c>
      <c r="G123" s="1" t="s">
        <v>8</v>
      </c>
      <c r="H123" s="1" t="str">
        <f t="shared" si="1"/>
        <v>Reajustar</v>
      </c>
      <c r="L123"/>
      <c r="M123"/>
      <c r="N123"/>
    </row>
    <row r="124" spans="1:14" x14ac:dyDescent="0.25">
      <c r="A124" s="1" t="s">
        <v>136</v>
      </c>
      <c r="B124" s="1" t="s">
        <v>223</v>
      </c>
      <c r="C124" s="8">
        <v>4840</v>
      </c>
      <c r="D124" s="5">
        <v>32277</v>
      </c>
      <c r="E124" s="1" t="s">
        <v>7</v>
      </c>
      <c r="F124" s="1" t="s">
        <v>11</v>
      </c>
      <c r="G124" s="1" t="s">
        <v>9</v>
      </c>
      <c r="H124" s="1" t="str">
        <f t="shared" si="1"/>
        <v>Reajustar</v>
      </c>
      <c r="L124"/>
      <c r="M124"/>
      <c r="N124"/>
    </row>
    <row r="125" spans="1:14" x14ac:dyDescent="0.25">
      <c r="A125" s="1" t="s">
        <v>137</v>
      </c>
      <c r="B125" s="1" t="s">
        <v>231</v>
      </c>
      <c r="C125" s="8">
        <v>10560</v>
      </c>
      <c r="D125" s="5">
        <v>32297</v>
      </c>
      <c r="E125" s="1" t="s">
        <v>7</v>
      </c>
      <c r="F125" s="1" t="s">
        <v>4</v>
      </c>
      <c r="G125" s="1" t="s">
        <v>13</v>
      </c>
      <c r="H125" s="1" t="str">
        <f t="shared" si="1"/>
        <v>Reajustar</v>
      </c>
      <c r="L125"/>
      <c r="M125"/>
      <c r="N125"/>
    </row>
    <row r="126" spans="1:14" x14ac:dyDescent="0.25">
      <c r="A126" s="1" t="s">
        <v>138</v>
      </c>
      <c r="B126" s="1" t="s">
        <v>223</v>
      </c>
      <c r="C126" s="8">
        <v>3687</v>
      </c>
      <c r="D126" s="5">
        <v>32342</v>
      </c>
      <c r="E126" s="1" t="s">
        <v>7</v>
      </c>
      <c r="F126" s="1" t="s">
        <v>11</v>
      </c>
      <c r="G126" s="1" t="s">
        <v>8</v>
      </c>
      <c r="H126" s="1" t="str">
        <f t="shared" si="1"/>
        <v>Reajustar</v>
      </c>
      <c r="L126"/>
      <c r="M126"/>
      <c r="N126"/>
    </row>
    <row r="127" spans="1:14" x14ac:dyDescent="0.25">
      <c r="A127" s="1" t="s">
        <v>139</v>
      </c>
      <c r="B127" s="1" t="s">
        <v>225</v>
      </c>
      <c r="C127" s="8">
        <v>4840</v>
      </c>
      <c r="D127" s="5">
        <v>32350</v>
      </c>
      <c r="E127" s="1" t="s">
        <v>7</v>
      </c>
      <c r="F127" s="1" t="s">
        <v>11</v>
      </c>
      <c r="G127" s="1" t="s">
        <v>8</v>
      </c>
      <c r="H127" s="1" t="str">
        <f t="shared" si="1"/>
        <v>Reajustar</v>
      </c>
      <c r="L127"/>
      <c r="M127"/>
      <c r="N127"/>
    </row>
    <row r="128" spans="1:14" x14ac:dyDescent="0.25">
      <c r="A128" s="1" t="s">
        <v>140</v>
      </c>
      <c r="B128" s="1" t="s">
        <v>225</v>
      </c>
      <c r="C128" s="8">
        <v>5940</v>
      </c>
      <c r="D128" s="5">
        <v>32365</v>
      </c>
      <c r="E128" s="1" t="s">
        <v>7</v>
      </c>
      <c r="F128" s="1" t="s">
        <v>11</v>
      </c>
      <c r="G128" s="1" t="s">
        <v>8</v>
      </c>
      <c r="H128" s="1" t="str">
        <f t="shared" si="1"/>
        <v>Reajustar</v>
      </c>
      <c r="L128"/>
      <c r="M128"/>
      <c r="N128"/>
    </row>
    <row r="129" spans="1:14" x14ac:dyDescent="0.25">
      <c r="A129" s="1" t="s">
        <v>141</v>
      </c>
      <c r="B129" s="1" t="s">
        <v>223</v>
      </c>
      <c r="C129" s="8">
        <v>4840</v>
      </c>
      <c r="D129" s="5">
        <v>32377</v>
      </c>
      <c r="E129" s="1" t="s">
        <v>7</v>
      </c>
      <c r="F129" s="1" t="s">
        <v>11</v>
      </c>
      <c r="G129" s="1" t="s">
        <v>8</v>
      </c>
      <c r="H129" s="1" t="str">
        <f t="shared" si="1"/>
        <v>Reajustar</v>
      </c>
      <c r="L129"/>
      <c r="M129"/>
      <c r="N129"/>
    </row>
    <row r="130" spans="1:14" x14ac:dyDescent="0.25">
      <c r="A130" s="1" t="s">
        <v>142</v>
      </c>
      <c r="B130" s="1" t="s">
        <v>220</v>
      </c>
      <c r="C130" s="8">
        <v>11836</v>
      </c>
      <c r="D130" s="5">
        <v>32386</v>
      </c>
      <c r="E130" s="1" t="s">
        <v>3</v>
      </c>
      <c r="F130" s="1" t="s">
        <v>4</v>
      </c>
      <c r="G130" s="1" t="s">
        <v>8</v>
      </c>
      <c r="H130" s="1" t="str">
        <f t="shared" si="1"/>
        <v>Reajustar</v>
      </c>
      <c r="L130"/>
      <c r="M130"/>
      <c r="N130"/>
    </row>
    <row r="131" spans="1:14" hidden="1" x14ac:dyDescent="0.25">
      <c r="A131" s="1" t="s">
        <v>143</v>
      </c>
      <c r="B131" s="1" t="s">
        <v>230</v>
      </c>
      <c r="C131" s="8">
        <v>12100</v>
      </c>
      <c r="D131" s="5">
        <v>32392</v>
      </c>
      <c r="E131" s="1" t="s">
        <v>7</v>
      </c>
      <c r="F131" s="1" t="s">
        <v>11</v>
      </c>
      <c r="G131" s="1" t="s">
        <v>13</v>
      </c>
      <c r="H131" s="1" t="str">
        <f t="shared" ref="H131:H194" si="2">IF(C131&gt;12000,"No reajustar","Reajustar")</f>
        <v>No reajustar</v>
      </c>
      <c r="L131"/>
      <c r="M131"/>
      <c r="N131"/>
    </row>
    <row r="132" spans="1:14" x14ac:dyDescent="0.25">
      <c r="A132" s="1" t="s">
        <v>144</v>
      </c>
      <c r="B132" s="1" t="s">
        <v>223</v>
      </c>
      <c r="C132" s="8">
        <v>4400</v>
      </c>
      <c r="D132" s="5">
        <v>32421</v>
      </c>
      <c r="E132" s="1" t="s">
        <v>7</v>
      </c>
      <c r="F132" s="1" t="s">
        <v>11</v>
      </c>
      <c r="G132" s="1" t="s">
        <v>13</v>
      </c>
      <c r="H132" s="1" t="str">
        <f t="shared" si="2"/>
        <v>Reajustar</v>
      </c>
      <c r="L132"/>
      <c r="M132"/>
      <c r="N132"/>
    </row>
    <row r="133" spans="1:14" x14ac:dyDescent="0.25">
      <c r="A133" s="1" t="s">
        <v>145</v>
      </c>
      <c r="B133" s="1" t="s">
        <v>224</v>
      </c>
      <c r="C133" s="8">
        <v>8000</v>
      </c>
      <c r="D133" s="5">
        <v>32513</v>
      </c>
      <c r="E133" s="1" t="s">
        <v>3</v>
      </c>
      <c r="F133" s="1" t="s">
        <v>5</v>
      </c>
      <c r="G133" s="1" t="s">
        <v>8</v>
      </c>
      <c r="H133" s="1" t="str">
        <f t="shared" si="2"/>
        <v>Reajustar</v>
      </c>
      <c r="L133"/>
      <c r="M133"/>
      <c r="N133"/>
    </row>
    <row r="134" spans="1:14" x14ac:dyDescent="0.25">
      <c r="A134" s="1" t="s">
        <v>146</v>
      </c>
      <c r="B134" s="1" t="s">
        <v>229</v>
      </c>
      <c r="C134" s="8">
        <v>7480</v>
      </c>
      <c r="D134" s="5">
        <v>32558</v>
      </c>
      <c r="E134" s="1" t="s">
        <v>7</v>
      </c>
      <c r="F134" s="1" t="s">
        <v>4</v>
      </c>
      <c r="G134" s="1" t="s">
        <v>8</v>
      </c>
      <c r="H134" s="1" t="str">
        <f t="shared" si="2"/>
        <v>Reajustar</v>
      </c>
      <c r="L134"/>
      <c r="M134"/>
      <c r="N134"/>
    </row>
    <row r="135" spans="1:14" x14ac:dyDescent="0.25">
      <c r="A135" s="1" t="s">
        <v>147</v>
      </c>
      <c r="B135" s="1" t="s">
        <v>223</v>
      </c>
      <c r="C135" s="8">
        <v>4180</v>
      </c>
      <c r="D135" s="5">
        <v>32598</v>
      </c>
      <c r="E135" s="1" t="s">
        <v>7</v>
      </c>
      <c r="F135" s="1" t="s">
        <v>11</v>
      </c>
      <c r="G135" s="1" t="s">
        <v>8</v>
      </c>
      <c r="H135" s="1" t="str">
        <f t="shared" si="2"/>
        <v>Reajustar</v>
      </c>
      <c r="L135"/>
      <c r="M135"/>
      <c r="N135"/>
    </row>
    <row r="136" spans="1:14" x14ac:dyDescent="0.25">
      <c r="A136" s="1" t="s">
        <v>148</v>
      </c>
      <c r="B136" s="1" t="s">
        <v>243</v>
      </c>
      <c r="C136" s="8">
        <v>5060</v>
      </c>
      <c r="D136" s="5">
        <v>32623</v>
      </c>
      <c r="E136" s="1" t="s">
        <v>7</v>
      </c>
      <c r="F136" s="1" t="s">
        <v>10</v>
      </c>
      <c r="G136" s="1" t="s">
        <v>8</v>
      </c>
      <c r="H136" s="1" t="str">
        <f t="shared" si="2"/>
        <v>Reajustar</v>
      </c>
      <c r="L136"/>
      <c r="M136"/>
      <c r="N136"/>
    </row>
    <row r="137" spans="1:14" x14ac:dyDescent="0.25">
      <c r="A137" s="1" t="s">
        <v>149</v>
      </c>
      <c r="B137" s="1" t="s">
        <v>223</v>
      </c>
      <c r="C137" s="8">
        <v>3300</v>
      </c>
      <c r="D137" s="5">
        <v>32695</v>
      </c>
      <c r="E137" s="1" t="s">
        <v>7</v>
      </c>
      <c r="F137" s="1" t="s">
        <v>11</v>
      </c>
      <c r="G137" s="1" t="s">
        <v>8</v>
      </c>
      <c r="H137" s="1" t="str">
        <f t="shared" si="2"/>
        <v>Reajustar</v>
      </c>
      <c r="L137"/>
      <c r="M137"/>
      <c r="N137"/>
    </row>
    <row r="138" spans="1:14" x14ac:dyDescent="0.25">
      <c r="A138" s="1" t="s">
        <v>150</v>
      </c>
      <c r="B138" s="1" t="s">
        <v>223</v>
      </c>
      <c r="C138" s="8">
        <v>4180</v>
      </c>
      <c r="D138" s="5">
        <v>32695</v>
      </c>
      <c r="E138" s="1" t="s">
        <v>7</v>
      </c>
      <c r="F138" s="1" t="s">
        <v>11</v>
      </c>
      <c r="G138" s="1" t="s">
        <v>8</v>
      </c>
      <c r="H138" s="1" t="str">
        <f t="shared" si="2"/>
        <v>Reajustar</v>
      </c>
      <c r="L138"/>
      <c r="M138"/>
      <c r="N138"/>
    </row>
    <row r="139" spans="1:14" hidden="1" x14ac:dyDescent="0.25">
      <c r="A139" s="1" t="s">
        <v>151</v>
      </c>
      <c r="B139" s="1" t="s">
        <v>244</v>
      </c>
      <c r="C139" s="8">
        <v>12320</v>
      </c>
      <c r="D139" s="5">
        <v>32735</v>
      </c>
      <c r="E139" s="1" t="s">
        <v>7</v>
      </c>
      <c r="F139" s="1" t="s">
        <v>5</v>
      </c>
      <c r="G139" s="1" t="s">
        <v>9</v>
      </c>
      <c r="H139" s="1" t="str">
        <f t="shared" si="2"/>
        <v>No reajustar</v>
      </c>
      <c r="L139"/>
      <c r="M139"/>
      <c r="N139"/>
    </row>
    <row r="140" spans="1:14" x14ac:dyDescent="0.25">
      <c r="A140" s="1" t="s">
        <v>52</v>
      </c>
      <c r="B140" s="1" t="s">
        <v>236</v>
      </c>
      <c r="C140" s="8">
        <v>9405</v>
      </c>
      <c r="D140" s="5">
        <v>32766</v>
      </c>
      <c r="E140" s="1" t="s">
        <v>3</v>
      </c>
      <c r="F140" s="1" t="s">
        <v>4</v>
      </c>
      <c r="G140" s="1" t="s">
        <v>13</v>
      </c>
      <c r="H140" s="1" t="str">
        <f t="shared" si="2"/>
        <v>Reajustar</v>
      </c>
      <c r="L140"/>
      <c r="M140"/>
      <c r="N140"/>
    </row>
    <row r="141" spans="1:14" hidden="1" x14ac:dyDescent="0.25">
      <c r="A141" s="1" t="s">
        <v>152</v>
      </c>
      <c r="B141" s="1" t="s">
        <v>245</v>
      </c>
      <c r="C141" s="8">
        <v>12100</v>
      </c>
      <c r="D141" s="5">
        <v>32786</v>
      </c>
      <c r="E141" s="1" t="s">
        <v>3</v>
      </c>
      <c r="F141" s="1" t="s">
        <v>10</v>
      </c>
      <c r="G141" s="1" t="s">
        <v>8</v>
      </c>
      <c r="H141" s="1" t="str">
        <f t="shared" si="2"/>
        <v>No reajustar</v>
      </c>
      <c r="L141"/>
      <c r="M141"/>
      <c r="N141"/>
    </row>
    <row r="142" spans="1:14" x14ac:dyDescent="0.25">
      <c r="A142" s="1" t="s">
        <v>153</v>
      </c>
      <c r="B142" s="1" t="s">
        <v>225</v>
      </c>
      <c r="C142" s="8">
        <v>5500</v>
      </c>
      <c r="D142" s="5">
        <v>32814</v>
      </c>
      <c r="E142" s="1" t="s">
        <v>7</v>
      </c>
      <c r="F142" s="1" t="s">
        <v>11</v>
      </c>
      <c r="G142" s="1" t="s">
        <v>8</v>
      </c>
      <c r="H142" s="1" t="str">
        <f t="shared" si="2"/>
        <v>Reajustar</v>
      </c>
      <c r="L142"/>
      <c r="M142"/>
      <c r="N142"/>
    </row>
    <row r="143" spans="1:14" x14ac:dyDescent="0.25">
      <c r="A143" s="1" t="s">
        <v>154</v>
      </c>
      <c r="B143" s="1" t="s">
        <v>223</v>
      </c>
      <c r="C143" s="8">
        <v>3740</v>
      </c>
      <c r="D143" s="5">
        <v>32900</v>
      </c>
      <c r="E143" s="1" t="s">
        <v>7</v>
      </c>
      <c r="F143" s="1" t="s">
        <v>11</v>
      </c>
      <c r="G143" s="1" t="s">
        <v>13</v>
      </c>
      <c r="H143" s="1" t="str">
        <f t="shared" si="2"/>
        <v>Reajustar</v>
      </c>
      <c r="L143"/>
      <c r="M143"/>
      <c r="N143"/>
    </row>
    <row r="144" spans="1:14" x14ac:dyDescent="0.25">
      <c r="A144" s="1" t="s">
        <v>155</v>
      </c>
      <c r="B144" s="1" t="s">
        <v>223</v>
      </c>
      <c r="C144" s="8">
        <v>4840</v>
      </c>
      <c r="D144" s="5">
        <v>32945</v>
      </c>
      <c r="E144" s="1" t="s">
        <v>3</v>
      </c>
      <c r="F144" s="1" t="s">
        <v>11</v>
      </c>
      <c r="G144" s="1" t="s">
        <v>8</v>
      </c>
      <c r="H144" s="1" t="str">
        <f t="shared" si="2"/>
        <v>Reajustar</v>
      </c>
      <c r="L144"/>
      <c r="M144"/>
      <c r="N144"/>
    </row>
    <row r="145" spans="1:14" x14ac:dyDescent="0.25">
      <c r="A145" s="1" t="s">
        <v>156</v>
      </c>
      <c r="B145" s="1" t="s">
        <v>225</v>
      </c>
      <c r="C145" s="8">
        <v>4840</v>
      </c>
      <c r="D145" s="5">
        <v>32982</v>
      </c>
      <c r="E145" s="1" t="s">
        <v>7</v>
      </c>
      <c r="F145" s="1" t="s">
        <v>11</v>
      </c>
      <c r="G145" s="1" t="s">
        <v>8</v>
      </c>
      <c r="H145" s="1" t="str">
        <f t="shared" si="2"/>
        <v>Reajustar</v>
      </c>
      <c r="L145"/>
      <c r="M145"/>
      <c r="N145"/>
    </row>
    <row r="146" spans="1:14" x14ac:dyDescent="0.25">
      <c r="A146" s="1" t="s">
        <v>157</v>
      </c>
      <c r="B146" s="1" t="s">
        <v>229</v>
      </c>
      <c r="C146" s="8">
        <v>6378</v>
      </c>
      <c r="D146" s="5">
        <v>33001</v>
      </c>
      <c r="E146" s="1" t="s">
        <v>7</v>
      </c>
      <c r="F146" s="1" t="s">
        <v>4</v>
      </c>
      <c r="G146" s="1" t="s">
        <v>8</v>
      </c>
      <c r="H146" s="1" t="str">
        <f t="shared" si="2"/>
        <v>Reajustar</v>
      </c>
      <c r="L146"/>
      <c r="M146"/>
      <c r="N146"/>
    </row>
    <row r="147" spans="1:14" x14ac:dyDescent="0.25">
      <c r="A147" s="1" t="s">
        <v>158</v>
      </c>
      <c r="B147" s="1" t="s">
        <v>223</v>
      </c>
      <c r="C147" s="8">
        <v>4400</v>
      </c>
      <c r="D147" s="5">
        <v>33027</v>
      </c>
      <c r="E147" s="1" t="s">
        <v>7</v>
      </c>
      <c r="F147" s="1" t="s">
        <v>11</v>
      </c>
      <c r="G147" s="1" t="s">
        <v>8</v>
      </c>
      <c r="H147" s="1" t="str">
        <f t="shared" si="2"/>
        <v>Reajustar</v>
      </c>
      <c r="L147"/>
      <c r="M147"/>
      <c r="N147"/>
    </row>
    <row r="148" spans="1:14" x14ac:dyDescent="0.25">
      <c r="A148" s="1" t="s">
        <v>159</v>
      </c>
      <c r="B148" s="1" t="s">
        <v>223</v>
      </c>
      <c r="C148" s="8">
        <v>3300</v>
      </c>
      <c r="D148" s="5">
        <v>33108</v>
      </c>
      <c r="E148" s="1" t="s">
        <v>3</v>
      </c>
      <c r="F148" s="1" t="s">
        <v>11</v>
      </c>
      <c r="G148" s="1" t="s">
        <v>8</v>
      </c>
      <c r="H148" s="1" t="str">
        <f t="shared" si="2"/>
        <v>Reajustar</v>
      </c>
      <c r="L148"/>
      <c r="M148"/>
      <c r="N148"/>
    </row>
    <row r="149" spans="1:14" x14ac:dyDescent="0.25">
      <c r="A149" s="1" t="s">
        <v>160</v>
      </c>
      <c r="B149" s="1" t="s">
        <v>223</v>
      </c>
      <c r="C149" s="8">
        <v>4180</v>
      </c>
      <c r="D149" s="5">
        <v>33130</v>
      </c>
      <c r="E149" s="1" t="s">
        <v>7</v>
      </c>
      <c r="F149" s="1" t="s">
        <v>11</v>
      </c>
      <c r="G149" s="1" t="s">
        <v>8</v>
      </c>
      <c r="H149" s="1" t="str">
        <f t="shared" si="2"/>
        <v>Reajustar</v>
      </c>
      <c r="L149"/>
      <c r="M149"/>
      <c r="N149"/>
    </row>
    <row r="150" spans="1:14" x14ac:dyDescent="0.25">
      <c r="A150" s="1" t="s">
        <v>161</v>
      </c>
      <c r="B150" s="1" t="s">
        <v>225</v>
      </c>
      <c r="C150" s="8">
        <v>5335</v>
      </c>
      <c r="D150" s="5">
        <v>33181</v>
      </c>
      <c r="E150" s="1" t="s">
        <v>7</v>
      </c>
      <c r="F150" s="1" t="s">
        <v>11</v>
      </c>
      <c r="G150" s="1" t="s">
        <v>8</v>
      </c>
      <c r="H150" s="1" t="str">
        <f t="shared" si="2"/>
        <v>Reajustar</v>
      </c>
      <c r="L150"/>
      <c r="M150"/>
      <c r="N150"/>
    </row>
    <row r="151" spans="1:14" x14ac:dyDescent="0.25">
      <c r="A151" s="1" t="s">
        <v>162</v>
      </c>
      <c r="B151" s="1" t="s">
        <v>225</v>
      </c>
      <c r="C151" s="8">
        <v>5806</v>
      </c>
      <c r="D151" s="5">
        <v>33199</v>
      </c>
      <c r="E151" s="1" t="s">
        <v>7</v>
      </c>
      <c r="F151" s="1" t="s">
        <v>11</v>
      </c>
      <c r="G151" s="1" t="s">
        <v>8</v>
      </c>
      <c r="H151" s="1" t="str">
        <f t="shared" si="2"/>
        <v>Reajustar</v>
      </c>
      <c r="L151"/>
      <c r="M151"/>
      <c r="N151"/>
    </row>
    <row r="152" spans="1:14" x14ac:dyDescent="0.25">
      <c r="A152" s="1" t="s">
        <v>163</v>
      </c>
      <c r="B152" s="1" t="s">
        <v>243</v>
      </c>
      <c r="C152" s="8">
        <v>6380</v>
      </c>
      <c r="D152" s="5">
        <v>33246</v>
      </c>
      <c r="E152" s="1" t="s">
        <v>7</v>
      </c>
      <c r="F152" s="1" t="s">
        <v>10</v>
      </c>
      <c r="G152" s="1" t="s">
        <v>8</v>
      </c>
      <c r="H152" s="1" t="str">
        <f t="shared" si="2"/>
        <v>Reajustar</v>
      </c>
      <c r="L152"/>
      <c r="M152"/>
      <c r="N152"/>
    </row>
    <row r="153" spans="1:14" hidden="1" x14ac:dyDescent="0.25">
      <c r="A153" s="1" t="s">
        <v>164</v>
      </c>
      <c r="B153" s="1" t="s">
        <v>220</v>
      </c>
      <c r="C153" s="8">
        <v>12364</v>
      </c>
      <c r="D153" s="5">
        <v>33350</v>
      </c>
      <c r="E153" s="1" t="s">
        <v>3</v>
      </c>
      <c r="F153" s="1" t="s">
        <v>4</v>
      </c>
      <c r="G153" s="1" t="s">
        <v>8</v>
      </c>
      <c r="H153" s="1" t="str">
        <f t="shared" si="2"/>
        <v>No reajustar</v>
      </c>
      <c r="L153"/>
      <c r="M153"/>
      <c r="N153"/>
    </row>
    <row r="154" spans="1:14" x14ac:dyDescent="0.25">
      <c r="A154" s="1" t="s">
        <v>165</v>
      </c>
      <c r="B154" s="1" t="s">
        <v>225</v>
      </c>
      <c r="C154" s="8">
        <v>6380</v>
      </c>
      <c r="D154" s="5">
        <v>33353</v>
      </c>
      <c r="E154" s="1" t="s">
        <v>3</v>
      </c>
      <c r="F154" s="1" t="s">
        <v>11</v>
      </c>
      <c r="G154" s="1" t="s">
        <v>8</v>
      </c>
      <c r="H154" s="1" t="str">
        <f t="shared" si="2"/>
        <v>Reajustar</v>
      </c>
      <c r="L154"/>
      <c r="M154"/>
      <c r="N154"/>
    </row>
    <row r="155" spans="1:14" hidden="1" x14ac:dyDescent="0.25">
      <c r="A155" s="1" t="s">
        <v>166</v>
      </c>
      <c r="B155" s="1" t="s">
        <v>234</v>
      </c>
      <c r="C155" s="8">
        <v>13860</v>
      </c>
      <c r="D155" s="5">
        <v>33367</v>
      </c>
      <c r="E155" s="1" t="s">
        <v>3</v>
      </c>
      <c r="F155" s="1" t="s">
        <v>4</v>
      </c>
      <c r="G155" s="1" t="s">
        <v>9</v>
      </c>
      <c r="H155" s="1" t="str">
        <f t="shared" si="2"/>
        <v>No reajustar</v>
      </c>
      <c r="L155"/>
      <c r="M155"/>
      <c r="N155"/>
    </row>
    <row r="156" spans="1:14" x14ac:dyDescent="0.25">
      <c r="A156" s="1" t="s">
        <v>167</v>
      </c>
      <c r="B156" s="1" t="s">
        <v>225</v>
      </c>
      <c r="C156" s="8">
        <v>5335</v>
      </c>
      <c r="D156" s="5">
        <v>33382</v>
      </c>
      <c r="E156" s="1" t="s">
        <v>3</v>
      </c>
      <c r="F156" s="1" t="s">
        <v>11</v>
      </c>
      <c r="G156" s="1" t="s">
        <v>8</v>
      </c>
      <c r="H156" s="1" t="str">
        <f t="shared" si="2"/>
        <v>Reajustar</v>
      </c>
      <c r="L156"/>
      <c r="M156"/>
      <c r="N156"/>
    </row>
    <row r="157" spans="1:14" hidden="1" x14ac:dyDescent="0.25">
      <c r="A157" s="1" t="s">
        <v>168</v>
      </c>
      <c r="B157" s="1" t="s">
        <v>239</v>
      </c>
      <c r="C157" s="8">
        <v>13486</v>
      </c>
      <c r="D157" s="5">
        <v>33394</v>
      </c>
      <c r="E157" s="1" t="s">
        <v>7</v>
      </c>
      <c r="F157" s="1" t="s">
        <v>4</v>
      </c>
      <c r="G157" s="1" t="s">
        <v>8</v>
      </c>
      <c r="H157" s="1" t="str">
        <f t="shared" si="2"/>
        <v>No reajustar</v>
      </c>
      <c r="L157"/>
      <c r="M157"/>
      <c r="N157"/>
    </row>
    <row r="158" spans="1:14" x14ac:dyDescent="0.25">
      <c r="A158" s="1" t="s">
        <v>169</v>
      </c>
      <c r="B158" s="1" t="s">
        <v>225</v>
      </c>
      <c r="C158" s="8">
        <v>4950</v>
      </c>
      <c r="D158" s="5">
        <v>33399</v>
      </c>
      <c r="E158" s="1" t="s">
        <v>7</v>
      </c>
      <c r="F158" s="1" t="s">
        <v>11</v>
      </c>
      <c r="G158" s="1" t="s">
        <v>13</v>
      </c>
      <c r="H158" s="1" t="str">
        <f t="shared" si="2"/>
        <v>Reajustar</v>
      </c>
      <c r="L158"/>
      <c r="M158"/>
      <c r="N158"/>
    </row>
    <row r="159" spans="1:14" x14ac:dyDescent="0.25">
      <c r="A159" s="1" t="s">
        <v>170</v>
      </c>
      <c r="B159" s="1" t="s">
        <v>223</v>
      </c>
      <c r="C159" s="8">
        <v>3740</v>
      </c>
      <c r="D159" s="5">
        <v>33425</v>
      </c>
      <c r="E159" s="1" t="s">
        <v>7</v>
      </c>
      <c r="F159" s="1" t="s">
        <v>11</v>
      </c>
      <c r="G159" s="1" t="s">
        <v>8</v>
      </c>
      <c r="H159" s="1" t="str">
        <f t="shared" si="2"/>
        <v>Reajustar</v>
      </c>
      <c r="L159"/>
      <c r="M159"/>
      <c r="N159"/>
    </row>
    <row r="160" spans="1:14" x14ac:dyDescent="0.25">
      <c r="A160" s="1" t="s">
        <v>171</v>
      </c>
      <c r="B160" s="1" t="s">
        <v>223</v>
      </c>
      <c r="C160" s="8">
        <v>3685</v>
      </c>
      <c r="D160" s="5">
        <v>33428</v>
      </c>
      <c r="E160" s="1" t="s">
        <v>7</v>
      </c>
      <c r="F160" s="1" t="s">
        <v>11</v>
      </c>
      <c r="G160" s="1" t="s">
        <v>8</v>
      </c>
      <c r="H160" s="1" t="str">
        <f t="shared" si="2"/>
        <v>Reajustar</v>
      </c>
      <c r="L160"/>
      <c r="M160"/>
      <c r="N160"/>
    </row>
    <row r="161" spans="1:14" x14ac:dyDescent="0.25">
      <c r="A161" s="1" t="s">
        <v>172</v>
      </c>
      <c r="B161" s="1" t="s">
        <v>229</v>
      </c>
      <c r="C161" s="8">
        <v>8800</v>
      </c>
      <c r="D161" s="5">
        <v>33429</v>
      </c>
      <c r="E161" s="1" t="s">
        <v>3</v>
      </c>
      <c r="F161" s="1" t="s">
        <v>4</v>
      </c>
      <c r="G161" s="1" t="s">
        <v>8</v>
      </c>
      <c r="H161" s="1" t="str">
        <f t="shared" si="2"/>
        <v>Reajustar</v>
      </c>
      <c r="L161"/>
      <c r="M161"/>
      <c r="N161"/>
    </row>
    <row r="162" spans="1:14" x14ac:dyDescent="0.25">
      <c r="A162" s="1" t="s">
        <v>173</v>
      </c>
      <c r="B162" s="1" t="s">
        <v>231</v>
      </c>
      <c r="C162" s="8">
        <v>10835</v>
      </c>
      <c r="D162" s="5">
        <v>33442</v>
      </c>
      <c r="E162" s="1" t="s">
        <v>3</v>
      </c>
      <c r="F162" s="1" t="s">
        <v>4</v>
      </c>
      <c r="G162" s="1" t="s">
        <v>8</v>
      </c>
      <c r="H162" s="1" t="str">
        <f t="shared" si="2"/>
        <v>Reajustar</v>
      </c>
      <c r="L162"/>
      <c r="M162"/>
      <c r="N162"/>
    </row>
    <row r="163" spans="1:14" x14ac:dyDescent="0.25">
      <c r="A163" s="1" t="s">
        <v>174</v>
      </c>
      <c r="B163" s="1" t="s">
        <v>236</v>
      </c>
      <c r="C163" s="8">
        <v>9284</v>
      </c>
      <c r="D163" s="5">
        <v>33475</v>
      </c>
      <c r="E163" s="1" t="s">
        <v>3</v>
      </c>
      <c r="F163" s="1" t="s">
        <v>4</v>
      </c>
      <c r="G163" s="1" t="s">
        <v>8</v>
      </c>
      <c r="H163" s="1" t="str">
        <f t="shared" si="2"/>
        <v>Reajustar</v>
      </c>
      <c r="L163"/>
      <c r="M163"/>
      <c r="N163"/>
    </row>
    <row r="164" spans="1:14" x14ac:dyDescent="0.25">
      <c r="A164" s="1" t="s">
        <v>175</v>
      </c>
      <c r="B164" s="1" t="s">
        <v>223</v>
      </c>
      <c r="C164" s="8">
        <v>3740</v>
      </c>
      <c r="D164" s="5">
        <v>33492</v>
      </c>
      <c r="E164" s="1" t="s">
        <v>3</v>
      </c>
      <c r="F164" s="1" t="s">
        <v>11</v>
      </c>
      <c r="G164" s="1" t="s">
        <v>8</v>
      </c>
      <c r="H164" s="1" t="str">
        <f t="shared" si="2"/>
        <v>Reajustar</v>
      </c>
      <c r="L164"/>
      <c r="M164"/>
      <c r="N164"/>
    </row>
    <row r="165" spans="1:14" x14ac:dyDescent="0.25">
      <c r="A165" s="1" t="s">
        <v>176</v>
      </c>
      <c r="B165" s="1" t="s">
        <v>223</v>
      </c>
      <c r="C165" s="8">
        <v>5060</v>
      </c>
      <c r="D165" s="5">
        <v>33516</v>
      </c>
      <c r="E165" s="1" t="s">
        <v>7</v>
      </c>
      <c r="F165" s="1" t="s">
        <v>11</v>
      </c>
      <c r="G165" s="1" t="s">
        <v>8</v>
      </c>
      <c r="H165" s="1" t="str">
        <f t="shared" si="2"/>
        <v>Reajustar</v>
      </c>
      <c r="L165"/>
      <c r="M165"/>
      <c r="N165"/>
    </row>
    <row r="166" spans="1:14" x14ac:dyDescent="0.25">
      <c r="A166" s="1" t="s">
        <v>177</v>
      </c>
      <c r="B166" s="1" t="s">
        <v>237</v>
      </c>
      <c r="C166" s="8">
        <v>7689</v>
      </c>
      <c r="D166" s="5">
        <v>33696</v>
      </c>
      <c r="E166" s="1" t="s">
        <v>3</v>
      </c>
      <c r="F166" s="1" t="s">
        <v>10</v>
      </c>
      <c r="G166" s="1" t="s">
        <v>8</v>
      </c>
      <c r="H166" s="1" t="str">
        <f t="shared" si="2"/>
        <v>Reajustar</v>
      </c>
      <c r="L166"/>
      <c r="M166"/>
      <c r="N166"/>
    </row>
    <row r="167" spans="1:14" hidden="1" x14ac:dyDescent="0.25">
      <c r="A167" s="1" t="s">
        <v>178</v>
      </c>
      <c r="B167" s="1" t="s">
        <v>231</v>
      </c>
      <c r="C167" s="8">
        <v>12320</v>
      </c>
      <c r="D167" s="5">
        <v>33726</v>
      </c>
      <c r="E167" s="1" t="s">
        <v>7</v>
      </c>
      <c r="F167" s="1" t="s">
        <v>4</v>
      </c>
      <c r="G167" s="1" t="s">
        <v>8</v>
      </c>
      <c r="H167" s="1" t="str">
        <f t="shared" si="2"/>
        <v>No reajustar</v>
      </c>
      <c r="L167"/>
      <c r="M167"/>
      <c r="N167"/>
    </row>
    <row r="168" spans="1:14" x14ac:dyDescent="0.25">
      <c r="A168" s="1" t="s">
        <v>179</v>
      </c>
      <c r="B168" s="1" t="s">
        <v>222</v>
      </c>
      <c r="C168" s="8">
        <v>5400</v>
      </c>
      <c r="D168" s="5">
        <v>33736</v>
      </c>
      <c r="E168" s="1" t="s">
        <v>7</v>
      </c>
      <c r="F168" s="1" t="s">
        <v>5</v>
      </c>
      <c r="G168" s="1" t="s">
        <v>9</v>
      </c>
      <c r="H168" s="1" t="str">
        <f t="shared" si="2"/>
        <v>Reajustar</v>
      </c>
      <c r="L168"/>
      <c r="M168"/>
      <c r="N168"/>
    </row>
    <row r="169" spans="1:14" x14ac:dyDescent="0.25">
      <c r="A169" s="1" t="s">
        <v>180</v>
      </c>
      <c r="B169" s="1" t="s">
        <v>225</v>
      </c>
      <c r="C169" s="8">
        <v>5720</v>
      </c>
      <c r="D169" s="5">
        <v>33743</v>
      </c>
      <c r="E169" s="1" t="s">
        <v>7</v>
      </c>
      <c r="F169" s="1" t="s">
        <v>11</v>
      </c>
      <c r="G169" s="1" t="s">
        <v>8</v>
      </c>
      <c r="H169" s="1" t="str">
        <f t="shared" si="2"/>
        <v>Reajustar</v>
      </c>
      <c r="L169"/>
      <c r="M169"/>
      <c r="N169"/>
    </row>
    <row r="170" spans="1:14" x14ac:dyDescent="0.25">
      <c r="A170" s="1" t="s">
        <v>101</v>
      </c>
      <c r="B170" s="1" t="s">
        <v>232</v>
      </c>
      <c r="C170" s="8">
        <v>10000</v>
      </c>
      <c r="D170" s="5">
        <v>33767</v>
      </c>
      <c r="E170" s="1" t="s">
        <v>7</v>
      </c>
      <c r="F170" s="1" t="s">
        <v>4</v>
      </c>
      <c r="G170" s="1" t="s">
        <v>8</v>
      </c>
      <c r="H170" s="1" t="str">
        <f t="shared" si="2"/>
        <v>Reajustar</v>
      </c>
      <c r="L170"/>
      <c r="M170"/>
      <c r="N170"/>
    </row>
    <row r="171" spans="1:14" x14ac:dyDescent="0.25">
      <c r="A171" s="1" t="s">
        <v>181</v>
      </c>
      <c r="B171" s="1" t="s">
        <v>231</v>
      </c>
      <c r="C171" s="8">
        <v>9460</v>
      </c>
      <c r="D171" s="5">
        <v>33771</v>
      </c>
      <c r="E171" s="1" t="s">
        <v>7</v>
      </c>
      <c r="F171" s="1" t="s">
        <v>4</v>
      </c>
      <c r="G171" s="1" t="s">
        <v>9</v>
      </c>
      <c r="H171" s="1" t="str">
        <f t="shared" si="2"/>
        <v>Reajustar</v>
      </c>
      <c r="L171"/>
      <c r="M171"/>
      <c r="N171"/>
    </row>
    <row r="172" spans="1:14" x14ac:dyDescent="0.25">
      <c r="A172" s="1" t="s">
        <v>182</v>
      </c>
      <c r="B172" s="1" t="s">
        <v>223</v>
      </c>
      <c r="C172" s="8">
        <v>5280</v>
      </c>
      <c r="D172" s="5">
        <v>33784</v>
      </c>
      <c r="E172" s="1" t="s">
        <v>3</v>
      </c>
      <c r="F172" s="1" t="s">
        <v>11</v>
      </c>
      <c r="G172" s="1" t="s">
        <v>8</v>
      </c>
      <c r="H172" s="1" t="str">
        <f t="shared" si="2"/>
        <v>Reajustar</v>
      </c>
      <c r="L172"/>
      <c r="M172"/>
      <c r="N172"/>
    </row>
    <row r="173" spans="1:14" hidden="1" x14ac:dyDescent="0.25">
      <c r="A173" s="1" t="s">
        <v>183</v>
      </c>
      <c r="B173" s="1" t="s">
        <v>231</v>
      </c>
      <c r="C173" s="8">
        <v>12212</v>
      </c>
      <c r="D173" s="5">
        <v>33794</v>
      </c>
      <c r="E173" s="1" t="s">
        <v>7</v>
      </c>
      <c r="F173" s="1" t="s">
        <v>4</v>
      </c>
      <c r="G173" s="1" t="s">
        <v>8</v>
      </c>
      <c r="H173" s="1" t="str">
        <f t="shared" si="2"/>
        <v>No reajustar</v>
      </c>
      <c r="L173"/>
      <c r="M173"/>
      <c r="N173"/>
    </row>
    <row r="174" spans="1:14" x14ac:dyDescent="0.25">
      <c r="A174" s="1" t="s">
        <v>184</v>
      </c>
      <c r="B174" s="1" t="s">
        <v>225</v>
      </c>
      <c r="C174" s="8">
        <v>5280</v>
      </c>
      <c r="D174" s="5">
        <v>33872</v>
      </c>
      <c r="E174" s="1" t="s">
        <v>7</v>
      </c>
      <c r="F174" s="1" t="s">
        <v>11</v>
      </c>
      <c r="G174" s="1" t="s">
        <v>8</v>
      </c>
      <c r="H174" s="1" t="str">
        <f t="shared" si="2"/>
        <v>Reajustar</v>
      </c>
      <c r="L174"/>
      <c r="M174"/>
      <c r="N174"/>
    </row>
    <row r="175" spans="1:14" x14ac:dyDescent="0.25">
      <c r="A175" s="1" t="s">
        <v>185</v>
      </c>
      <c r="B175" s="1" t="s">
        <v>223</v>
      </c>
      <c r="C175" s="8">
        <v>4345</v>
      </c>
      <c r="D175" s="5">
        <v>33879</v>
      </c>
      <c r="E175" s="1" t="s">
        <v>7</v>
      </c>
      <c r="F175" s="1" t="s">
        <v>11</v>
      </c>
      <c r="G175" s="1" t="s">
        <v>8</v>
      </c>
      <c r="H175" s="1" t="str">
        <f t="shared" si="2"/>
        <v>Reajustar</v>
      </c>
      <c r="L175"/>
      <c r="M175"/>
      <c r="N175"/>
    </row>
    <row r="176" spans="1:14" x14ac:dyDescent="0.25">
      <c r="A176" s="1" t="s">
        <v>186</v>
      </c>
      <c r="B176" s="1" t="s">
        <v>240</v>
      </c>
      <c r="C176" s="8">
        <v>7500</v>
      </c>
      <c r="D176" s="5">
        <v>33899</v>
      </c>
      <c r="E176" s="1" t="s">
        <v>3</v>
      </c>
      <c r="F176" s="1" t="s">
        <v>4</v>
      </c>
      <c r="G176" s="1" t="s">
        <v>8</v>
      </c>
      <c r="H176" s="1" t="str">
        <f t="shared" si="2"/>
        <v>Reajustar</v>
      </c>
      <c r="L176"/>
      <c r="M176"/>
      <c r="N176"/>
    </row>
    <row r="177" spans="1:14" x14ac:dyDescent="0.25">
      <c r="A177" s="1" t="s">
        <v>187</v>
      </c>
      <c r="B177" s="1" t="s">
        <v>243</v>
      </c>
      <c r="C177" s="8">
        <v>6270</v>
      </c>
      <c r="D177" s="5">
        <v>33930</v>
      </c>
      <c r="E177" s="1" t="s">
        <v>3</v>
      </c>
      <c r="F177" s="1" t="s">
        <v>10</v>
      </c>
      <c r="G177" s="1" t="s">
        <v>8</v>
      </c>
      <c r="H177" s="1" t="str">
        <f t="shared" si="2"/>
        <v>Reajustar</v>
      </c>
      <c r="L177"/>
      <c r="M177"/>
      <c r="N177"/>
    </row>
    <row r="178" spans="1:14" x14ac:dyDescent="0.25">
      <c r="A178" s="1" t="s">
        <v>188</v>
      </c>
      <c r="B178" s="1" t="s">
        <v>241</v>
      </c>
      <c r="C178" s="8">
        <v>7810</v>
      </c>
      <c r="D178" s="5">
        <v>34065</v>
      </c>
      <c r="E178" s="1" t="s">
        <v>7</v>
      </c>
      <c r="F178" s="1" t="s">
        <v>4</v>
      </c>
      <c r="G178" s="1" t="s">
        <v>13</v>
      </c>
      <c r="H178" s="1" t="str">
        <f t="shared" si="2"/>
        <v>Reajustar</v>
      </c>
      <c r="L178"/>
      <c r="M178"/>
      <c r="N178"/>
    </row>
    <row r="179" spans="1:14" x14ac:dyDescent="0.25">
      <c r="A179" s="1" t="s">
        <v>189</v>
      </c>
      <c r="B179" s="1" t="s">
        <v>229</v>
      </c>
      <c r="C179" s="8">
        <v>5720</v>
      </c>
      <c r="D179" s="5">
        <v>34098</v>
      </c>
      <c r="E179" s="1" t="s">
        <v>7</v>
      </c>
      <c r="F179" s="1" t="s">
        <v>4</v>
      </c>
      <c r="G179" s="1" t="s">
        <v>13</v>
      </c>
      <c r="H179" s="1" t="str">
        <f t="shared" si="2"/>
        <v>Reajustar</v>
      </c>
      <c r="L179"/>
      <c r="M179"/>
      <c r="N179"/>
    </row>
    <row r="180" spans="1:14" x14ac:dyDescent="0.25">
      <c r="A180" s="1" t="s">
        <v>190</v>
      </c>
      <c r="B180" s="1" t="s">
        <v>246</v>
      </c>
      <c r="C180" s="8">
        <v>3643</v>
      </c>
      <c r="D180" s="5">
        <v>34107</v>
      </c>
      <c r="E180" s="1" t="s">
        <v>7</v>
      </c>
      <c r="F180" s="1" t="s">
        <v>10</v>
      </c>
      <c r="G180" s="1" t="s">
        <v>8</v>
      </c>
      <c r="H180" s="1" t="str">
        <f t="shared" si="2"/>
        <v>Reajustar</v>
      </c>
      <c r="L180"/>
      <c r="M180"/>
      <c r="N180"/>
    </row>
    <row r="181" spans="1:14" x14ac:dyDescent="0.25">
      <c r="A181" s="1" t="s">
        <v>191</v>
      </c>
      <c r="B181" s="1" t="s">
        <v>223</v>
      </c>
      <c r="C181" s="8">
        <v>4840</v>
      </c>
      <c r="D181" s="5">
        <v>34119</v>
      </c>
      <c r="E181" s="1" t="s">
        <v>7</v>
      </c>
      <c r="F181" s="1" t="s">
        <v>11</v>
      </c>
      <c r="G181" s="1" t="s">
        <v>8</v>
      </c>
      <c r="H181" s="1" t="str">
        <f t="shared" si="2"/>
        <v>Reajustar</v>
      </c>
      <c r="L181"/>
      <c r="M181"/>
      <c r="N181"/>
    </row>
    <row r="182" spans="1:14" x14ac:dyDescent="0.25">
      <c r="A182" s="1" t="s">
        <v>192</v>
      </c>
      <c r="B182" s="1" t="s">
        <v>229</v>
      </c>
      <c r="C182" s="8">
        <v>9900</v>
      </c>
      <c r="D182" s="5">
        <v>34150</v>
      </c>
      <c r="E182" s="1" t="s">
        <v>7</v>
      </c>
      <c r="F182" s="1" t="s">
        <v>4</v>
      </c>
      <c r="G182" s="1" t="s">
        <v>8</v>
      </c>
      <c r="H182" s="1" t="str">
        <f t="shared" si="2"/>
        <v>Reajustar</v>
      </c>
      <c r="L182"/>
      <c r="M182"/>
      <c r="N182"/>
    </row>
    <row r="183" spans="1:14" x14ac:dyDescent="0.25">
      <c r="A183" s="1" t="s">
        <v>193</v>
      </c>
      <c r="B183" s="1" t="s">
        <v>229</v>
      </c>
      <c r="C183" s="8">
        <v>8140</v>
      </c>
      <c r="D183" s="5">
        <v>34167</v>
      </c>
      <c r="E183" s="1" t="s">
        <v>3</v>
      </c>
      <c r="F183" s="1" t="s">
        <v>4</v>
      </c>
      <c r="G183" s="1" t="s">
        <v>8</v>
      </c>
      <c r="H183" s="1" t="str">
        <f t="shared" si="2"/>
        <v>Reajustar</v>
      </c>
      <c r="L183"/>
      <c r="M183"/>
      <c r="N183"/>
    </row>
    <row r="184" spans="1:14" x14ac:dyDescent="0.25">
      <c r="A184" s="1" t="s">
        <v>194</v>
      </c>
      <c r="B184" s="1" t="s">
        <v>224</v>
      </c>
      <c r="C184" s="8">
        <v>8600</v>
      </c>
      <c r="D184" s="5">
        <v>34191</v>
      </c>
      <c r="E184" s="1" t="s">
        <v>7</v>
      </c>
      <c r="F184" s="1" t="s">
        <v>5</v>
      </c>
      <c r="G184" s="1" t="s">
        <v>13</v>
      </c>
      <c r="H184" s="1" t="str">
        <f t="shared" si="2"/>
        <v>Reajustar</v>
      </c>
      <c r="L184"/>
      <c r="M184"/>
      <c r="N184"/>
    </row>
    <row r="185" spans="1:14" x14ac:dyDescent="0.25">
      <c r="A185" s="1" t="s">
        <v>195</v>
      </c>
      <c r="B185" s="1" t="s">
        <v>226</v>
      </c>
      <c r="C185" s="8">
        <v>10500</v>
      </c>
      <c r="D185" s="5">
        <v>34209</v>
      </c>
      <c r="E185" s="1" t="s">
        <v>3</v>
      </c>
      <c r="F185" s="1" t="s">
        <v>5</v>
      </c>
      <c r="G185" s="1" t="s">
        <v>8</v>
      </c>
      <c r="H185" s="1" t="str">
        <f t="shared" si="2"/>
        <v>Reajustar</v>
      </c>
      <c r="L185"/>
      <c r="M185"/>
      <c r="N185"/>
    </row>
    <row r="186" spans="1:14" x14ac:dyDescent="0.25">
      <c r="A186" s="1" t="s">
        <v>196</v>
      </c>
      <c r="B186" s="1" t="s">
        <v>222</v>
      </c>
      <c r="C186" s="8">
        <v>4250</v>
      </c>
      <c r="D186" s="5">
        <v>34225</v>
      </c>
      <c r="E186" s="1" t="s">
        <v>3</v>
      </c>
      <c r="F186" s="1" t="s">
        <v>5</v>
      </c>
      <c r="G186" s="1" t="s">
        <v>8</v>
      </c>
      <c r="H186" s="1" t="str">
        <f t="shared" si="2"/>
        <v>Reajustar</v>
      </c>
      <c r="L186"/>
      <c r="M186"/>
      <c r="N186"/>
    </row>
    <row r="187" spans="1:14" x14ac:dyDescent="0.25">
      <c r="A187" s="1" t="s">
        <v>197</v>
      </c>
      <c r="B187" s="1" t="s">
        <v>223</v>
      </c>
      <c r="C187" s="8">
        <v>4620</v>
      </c>
      <c r="D187" s="5">
        <v>34238</v>
      </c>
      <c r="E187" s="1" t="s">
        <v>3</v>
      </c>
      <c r="F187" s="1" t="s">
        <v>11</v>
      </c>
      <c r="G187" s="1" t="s">
        <v>8</v>
      </c>
      <c r="H187" s="1" t="str">
        <f t="shared" si="2"/>
        <v>Reajustar</v>
      </c>
      <c r="L187"/>
      <c r="M187"/>
      <c r="N187"/>
    </row>
    <row r="188" spans="1:14" x14ac:dyDescent="0.25">
      <c r="A188" s="1" t="s">
        <v>198</v>
      </c>
      <c r="B188" s="1" t="s">
        <v>223</v>
      </c>
      <c r="C188" s="8">
        <v>4620</v>
      </c>
      <c r="D188" s="5">
        <v>34248</v>
      </c>
      <c r="E188" s="1" t="s">
        <v>3</v>
      </c>
      <c r="F188" s="1" t="s">
        <v>11</v>
      </c>
      <c r="G188" s="1" t="s">
        <v>8</v>
      </c>
      <c r="H188" s="1" t="str">
        <f t="shared" si="2"/>
        <v>Reajustar</v>
      </c>
      <c r="L188"/>
      <c r="M188"/>
      <c r="N188"/>
    </row>
    <row r="189" spans="1:14" x14ac:dyDescent="0.25">
      <c r="A189" s="1" t="s">
        <v>199</v>
      </c>
      <c r="B189" s="1" t="s">
        <v>225</v>
      </c>
      <c r="C189" s="8">
        <v>5280</v>
      </c>
      <c r="D189" s="5">
        <v>34249</v>
      </c>
      <c r="E189" s="1" t="s">
        <v>7</v>
      </c>
      <c r="F189" s="1" t="s">
        <v>11</v>
      </c>
      <c r="G189" s="1" t="s">
        <v>8</v>
      </c>
      <c r="H189" s="1" t="str">
        <f t="shared" si="2"/>
        <v>Reajustar</v>
      </c>
      <c r="L189"/>
      <c r="M189"/>
      <c r="N189"/>
    </row>
    <row r="190" spans="1:14" x14ac:dyDescent="0.25">
      <c r="A190" s="1" t="s">
        <v>200</v>
      </c>
      <c r="B190" s="1" t="s">
        <v>222</v>
      </c>
      <c r="C190" s="8">
        <v>5400</v>
      </c>
      <c r="D190" s="5">
        <v>34329</v>
      </c>
      <c r="E190" s="1" t="s">
        <v>7</v>
      </c>
      <c r="F190" s="1" t="s">
        <v>5</v>
      </c>
      <c r="G190" s="1" t="s">
        <v>8</v>
      </c>
      <c r="H190" s="1" t="str">
        <f t="shared" si="2"/>
        <v>Reajustar</v>
      </c>
      <c r="L190"/>
      <c r="M190"/>
      <c r="N190"/>
    </row>
    <row r="191" spans="1:14" x14ac:dyDescent="0.25">
      <c r="A191" s="1" t="s">
        <v>201</v>
      </c>
      <c r="B191" s="1" t="s">
        <v>223</v>
      </c>
      <c r="C191" s="8">
        <v>3520</v>
      </c>
      <c r="D191" s="5">
        <v>34342</v>
      </c>
      <c r="E191" s="1" t="s">
        <v>3</v>
      </c>
      <c r="F191" s="1" t="s">
        <v>11</v>
      </c>
      <c r="G191" s="1" t="s">
        <v>13</v>
      </c>
      <c r="H191" s="1" t="str">
        <f t="shared" si="2"/>
        <v>Reajustar</v>
      </c>
      <c r="L191"/>
      <c r="M191"/>
      <c r="N191"/>
    </row>
    <row r="192" spans="1:14" x14ac:dyDescent="0.25">
      <c r="A192" s="1" t="s">
        <v>202</v>
      </c>
      <c r="B192" s="1" t="s">
        <v>224</v>
      </c>
      <c r="C192" s="8">
        <v>8000</v>
      </c>
      <c r="D192" s="5">
        <v>34423</v>
      </c>
      <c r="E192" s="1" t="s">
        <v>7</v>
      </c>
      <c r="F192" s="1" t="s">
        <v>5</v>
      </c>
      <c r="G192" s="1" t="s">
        <v>8</v>
      </c>
      <c r="H192" s="1" t="str">
        <f t="shared" si="2"/>
        <v>Reajustar</v>
      </c>
      <c r="L192"/>
      <c r="M192"/>
      <c r="N192"/>
    </row>
    <row r="193" spans="1:14" x14ac:dyDescent="0.25">
      <c r="A193" s="1" t="s">
        <v>203</v>
      </c>
      <c r="B193" s="1" t="s">
        <v>240</v>
      </c>
      <c r="C193" s="8">
        <v>7500</v>
      </c>
      <c r="D193" s="5">
        <v>34514</v>
      </c>
      <c r="E193" s="1" t="s">
        <v>3</v>
      </c>
      <c r="F193" s="1" t="s">
        <v>4</v>
      </c>
      <c r="G193" s="1" t="s">
        <v>8</v>
      </c>
      <c r="H193" s="1" t="str">
        <f t="shared" si="2"/>
        <v>Reajustar</v>
      </c>
      <c r="L193"/>
      <c r="M193"/>
      <c r="N193"/>
    </row>
    <row r="194" spans="1:14" x14ac:dyDescent="0.25">
      <c r="A194" s="1" t="s">
        <v>204</v>
      </c>
      <c r="B194" s="1" t="s">
        <v>225</v>
      </c>
      <c r="C194" s="8">
        <v>5280</v>
      </c>
      <c r="D194" s="5">
        <v>34570</v>
      </c>
      <c r="E194" s="1" t="s">
        <v>7</v>
      </c>
      <c r="F194" s="1" t="s">
        <v>11</v>
      </c>
      <c r="G194" s="1" t="s">
        <v>9</v>
      </c>
      <c r="H194" s="1" t="str">
        <f t="shared" si="2"/>
        <v>Reajustar</v>
      </c>
      <c r="L194"/>
      <c r="M194"/>
      <c r="N194"/>
    </row>
    <row r="195" spans="1:14" x14ac:dyDescent="0.25">
      <c r="A195" s="1" t="s">
        <v>205</v>
      </c>
      <c r="B195" s="1" t="s">
        <v>224</v>
      </c>
      <c r="C195" s="8">
        <v>8600</v>
      </c>
      <c r="D195" s="5">
        <v>34598</v>
      </c>
      <c r="E195" s="1" t="s">
        <v>7</v>
      </c>
      <c r="F195" s="1" t="s">
        <v>5</v>
      </c>
      <c r="G195" s="1" t="s">
        <v>8</v>
      </c>
      <c r="H195" s="1" t="str">
        <f t="shared" ref="H195:H208" si="3">IF(C195&gt;12000,"No reajustar","Reajustar")</f>
        <v>Reajustar</v>
      </c>
      <c r="L195"/>
      <c r="M195"/>
      <c r="N195"/>
    </row>
    <row r="196" spans="1:14" x14ac:dyDescent="0.25">
      <c r="A196" s="1" t="s">
        <v>206</v>
      </c>
      <c r="B196" s="1" t="s">
        <v>223</v>
      </c>
      <c r="C196" s="8">
        <v>3960</v>
      </c>
      <c r="D196" s="5">
        <v>34624</v>
      </c>
      <c r="E196" s="1" t="s">
        <v>3</v>
      </c>
      <c r="F196" s="1" t="s">
        <v>11</v>
      </c>
      <c r="G196" s="1" t="s">
        <v>9</v>
      </c>
      <c r="H196" s="1" t="str">
        <f t="shared" si="3"/>
        <v>Reajustar</v>
      </c>
      <c r="L196"/>
      <c r="M196"/>
      <c r="N196"/>
    </row>
    <row r="197" spans="1:14" x14ac:dyDescent="0.25">
      <c r="A197" s="1" t="s">
        <v>207</v>
      </c>
      <c r="B197" s="1" t="s">
        <v>224</v>
      </c>
      <c r="C197" s="8">
        <v>7500</v>
      </c>
      <c r="D197" s="5">
        <v>34644</v>
      </c>
      <c r="E197" s="1" t="s">
        <v>7</v>
      </c>
      <c r="F197" s="1" t="s">
        <v>5</v>
      </c>
      <c r="G197" s="1" t="s">
        <v>8</v>
      </c>
      <c r="H197" s="1" t="str">
        <f t="shared" si="3"/>
        <v>Reajustar</v>
      </c>
      <c r="L197"/>
      <c r="M197"/>
      <c r="N197"/>
    </row>
    <row r="198" spans="1:14" x14ac:dyDescent="0.25">
      <c r="A198" s="1" t="s">
        <v>208</v>
      </c>
      <c r="B198" s="1" t="s">
        <v>229</v>
      </c>
      <c r="C198" s="8">
        <v>9240</v>
      </c>
      <c r="D198" s="5">
        <v>34661</v>
      </c>
      <c r="E198" s="1" t="s">
        <v>3</v>
      </c>
      <c r="F198" s="1" t="s">
        <v>4</v>
      </c>
      <c r="G198" s="1" t="s">
        <v>8</v>
      </c>
      <c r="H198" s="1" t="str">
        <f t="shared" si="3"/>
        <v>Reajustar</v>
      </c>
      <c r="L198"/>
      <c r="M198"/>
      <c r="N198"/>
    </row>
    <row r="199" spans="1:14" x14ac:dyDescent="0.25">
      <c r="A199" s="1" t="s">
        <v>209</v>
      </c>
      <c r="B199" s="1" t="s">
        <v>222</v>
      </c>
      <c r="C199" s="8">
        <v>5350</v>
      </c>
      <c r="D199" s="5">
        <v>34672</v>
      </c>
      <c r="E199" s="1" t="s">
        <v>3</v>
      </c>
      <c r="F199" s="1" t="s">
        <v>5</v>
      </c>
      <c r="G199" s="1" t="s">
        <v>8</v>
      </c>
      <c r="H199" s="1" t="str">
        <f t="shared" si="3"/>
        <v>Reajustar</v>
      </c>
      <c r="L199"/>
      <c r="M199"/>
      <c r="N199"/>
    </row>
    <row r="200" spans="1:14" x14ac:dyDescent="0.25">
      <c r="A200" s="1" t="s">
        <v>210</v>
      </c>
      <c r="B200" s="1" t="s">
        <v>223</v>
      </c>
      <c r="C200" s="8">
        <v>4180</v>
      </c>
      <c r="D200" s="5">
        <v>34708</v>
      </c>
      <c r="E200" s="1" t="s">
        <v>3</v>
      </c>
      <c r="F200" s="1" t="s">
        <v>11</v>
      </c>
      <c r="G200" s="1" t="s">
        <v>8</v>
      </c>
      <c r="H200" s="1" t="str">
        <f t="shared" si="3"/>
        <v>Reajustar</v>
      </c>
      <c r="L200"/>
      <c r="M200"/>
      <c r="N200"/>
    </row>
    <row r="201" spans="1:14" x14ac:dyDescent="0.25">
      <c r="A201" s="1" t="s">
        <v>211</v>
      </c>
      <c r="B201" s="1" t="s">
        <v>244</v>
      </c>
      <c r="C201" s="8">
        <v>11880</v>
      </c>
      <c r="D201" s="5">
        <v>34807</v>
      </c>
      <c r="E201" s="1" t="s">
        <v>7</v>
      </c>
      <c r="F201" s="1" t="s">
        <v>5</v>
      </c>
      <c r="G201" s="1" t="s">
        <v>8</v>
      </c>
      <c r="H201" s="1" t="str">
        <f t="shared" si="3"/>
        <v>Reajustar</v>
      </c>
      <c r="L201"/>
      <c r="M201"/>
      <c r="N201"/>
    </row>
    <row r="202" spans="1:14" x14ac:dyDescent="0.25">
      <c r="A202" s="1" t="s">
        <v>212</v>
      </c>
      <c r="B202" s="1" t="s">
        <v>225</v>
      </c>
      <c r="C202" s="8">
        <v>5940</v>
      </c>
      <c r="D202" s="5">
        <v>34962</v>
      </c>
      <c r="E202" s="1" t="s">
        <v>7</v>
      </c>
      <c r="F202" s="1" t="s">
        <v>11</v>
      </c>
      <c r="G202" s="1" t="s">
        <v>9</v>
      </c>
      <c r="H202" s="1" t="str">
        <f t="shared" si="3"/>
        <v>Reajustar</v>
      </c>
      <c r="L202"/>
      <c r="M202"/>
      <c r="N202"/>
    </row>
    <row r="203" spans="1:14" x14ac:dyDescent="0.25">
      <c r="A203" s="1" t="s">
        <v>213</v>
      </c>
      <c r="B203" s="1" t="s">
        <v>226</v>
      </c>
      <c r="C203" s="8">
        <v>10000</v>
      </c>
      <c r="D203" s="5">
        <v>35007</v>
      </c>
      <c r="E203" s="1" t="s">
        <v>7</v>
      </c>
      <c r="F203" s="1" t="s">
        <v>5</v>
      </c>
      <c r="G203" s="1" t="s">
        <v>8</v>
      </c>
      <c r="H203" s="1" t="str">
        <f t="shared" si="3"/>
        <v>Reajustar</v>
      </c>
      <c r="L203"/>
      <c r="M203"/>
      <c r="N203"/>
    </row>
    <row r="204" spans="1:14" x14ac:dyDescent="0.25">
      <c r="A204" s="1" t="s">
        <v>214</v>
      </c>
      <c r="B204" s="1" t="s">
        <v>223</v>
      </c>
      <c r="C204" s="8">
        <v>3520</v>
      </c>
      <c r="D204" s="5">
        <v>35091</v>
      </c>
      <c r="E204" s="1" t="s">
        <v>7</v>
      </c>
      <c r="F204" s="1" t="s">
        <v>11</v>
      </c>
      <c r="G204" s="1" t="s">
        <v>8</v>
      </c>
      <c r="H204" s="1" t="str">
        <f t="shared" si="3"/>
        <v>Reajustar</v>
      </c>
      <c r="L204"/>
      <c r="M204"/>
      <c r="N204"/>
    </row>
    <row r="205" spans="1:14" x14ac:dyDescent="0.25">
      <c r="A205" s="1" t="s">
        <v>215</v>
      </c>
      <c r="B205" s="1" t="s">
        <v>224</v>
      </c>
      <c r="C205" s="8">
        <v>7500</v>
      </c>
      <c r="D205" s="5">
        <v>35206</v>
      </c>
      <c r="E205" s="1" t="s">
        <v>3</v>
      </c>
      <c r="F205" s="1" t="s">
        <v>5</v>
      </c>
      <c r="G205" s="1" t="s">
        <v>8</v>
      </c>
      <c r="H205" s="1" t="str">
        <f t="shared" si="3"/>
        <v>Reajustar</v>
      </c>
      <c r="L205"/>
      <c r="M205"/>
      <c r="N205"/>
    </row>
    <row r="206" spans="1:14" x14ac:dyDescent="0.25">
      <c r="A206" s="1" t="s">
        <v>216</v>
      </c>
      <c r="B206" s="1" t="s">
        <v>223</v>
      </c>
      <c r="C206" s="8">
        <v>3740</v>
      </c>
      <c r="D206" s="5">
        <v>35598</v>
      </c>
      <c r="E206" s="1" t="s">
        <v>7</v>
      </c>
      <c r="F206" s="1" t="s">
        <v>11</v>
      </c>
      <c r="G206" s="1" t="s">
        <v>8</v>
      </c>
      <c r="H206" s="1" t="str">
        <f t="shared" si="3"/>
        <v>Reajustar</v>
      </c>
      <c r="L206"/>
      <c r="M206"/>
      <c r="N206"/>
    </row>
    <row r="207" spans="1:14" x14ac:dyDescent="0.25">
      <c r="A207" s="1" t="s">
        <v>217</v>
      </c>
      <c r="B207" s="1" t="s">
        <v>225</v>
      </c>
      <c r="C207" s="8">
        <v>6160</v>
      </c>
      <c r="D207" s="5">
        <v>35615</v>
      </c>
      <c r="E207" s="1" t="s">
        <v>7</v>
      </c>
      <c r="F207" s="1" t="s">
        <v>11</v>
      </c>
      <c r="G207" s="1" t="s">
        <v>8</v>
      </c>
      <c r="H207" s="1" t="str">
        <f t="shared" si="3"/>
        <v>Reajustar</v>
      </c>
      <c r="L207"/>
      <c r="M207"/>
      <c r="N207"/>
    </row>
    <row r="208" spans="1:14" x14ac:dyDescent="0.25">
      <c r="A208" s="1" t="s">
        <v>218</v>
      </c>
      <c r="B208" s="1" t="s">
        <v>225</v>
      </c>
      <c r="C208" s="8">
        <v>5940</v>
      </c>
      <c r="D208" s="5">
        <v>35658</v>
      </c>
      <c r="E208" s="1" t="s">
        <v>3</v>
      </c>
      <c r="F208" s="1" t="s">
        <v>11</v>
      </c>
      <c r="G208" s="1" t="s">
        <v>8</v>
      </c>
      <c r="H208" s="1" t="str">
        <f t="shared" si="3"/>
        <v>Reajustar</v>
      </c>
      <c r="L208"/>
      <c r="M208"/>
      <c r="N208"/>
    </row>
    <row r="209" spans="1:14" x14ac:dyDescent="0.25">
      <c r="A209" s="1" t="s">
        <v>251</v>
      </c>
      <c r="B209" s="1"/>
      <c r="C209" s="8">
        <f>SUBTOTAL(104,Tabla4[[Salario ]])</f>
        <v>11990</v>
      </c>
      <c r="D209" s="1"/>
      <c r="E209" s="1">
        <f>SUBTOTAL(103,Tabla4[Estado Civil])</f>
        <v>187</v>
      </c>
      <c r="F209" s="1"/>
      <c r="G209" s="1"/>
      <c r="H209" s="1">
        <f>SUBTOTAL(103,Tabla4[Reajustar])</f>
        <v>187</v>
      </c>
      <c r="L209"/>
      <c r="M209"/>
      <c r="N209"/>
    </row>
  </sheetData>
  <conditionalFormatting sqref="H1:H208 H210:H1048576">
    <cfRule type="cellIs" dxfId="0" priority="1" operator="equal">
      <formula>"No reajustar"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5" ma:contentTypeDescription="Crie um novo documento." ma:contentTypeScope="" ma:versionID="81faa0723713d2edf1708e01302ca5bf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86d724373356fad3fe03dec6a4e4abd5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A92EFE-1E37-4CC0-B32A-100BBDD8D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BC1873-DB4E-4D0A-9BAC-99CE370148AC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</ds:schemaRefs>
</ds:datastoreItem>
</file>

<file path=customXml/itemProps3.xml><?xml version="1.0" encoding="utf-8"?>
<ds:datastoreItem xmlns:ds="http://schemas.openxmlformats.org/officeDocument/2006/customXml" ds:itemID="{65CD0621-6027-4785-B07C-6B568177BD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RRHH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Bruno nicolas Rosales</cp:lastModifiedBy>
  <dcterms:created xsi:type="dcterms:W3CDTF">2020-04-23T15:06:46Z</dcterms:created>
  <dcterms:modified xsi:type="dcterms:W3CDTF">2025-09-29T20:43:00Z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0x010100629EA32D4A311247A44395277B1C8727</vt:lpwstr>
  </property>
  <property fmtid="{D5CDD505-2E9C-101B-9397-08002B2CF9AE}" pid="5" name="MediaServiceImageTags">
    <vt:lpwstr/>
  </property>
</Properties>
</file>